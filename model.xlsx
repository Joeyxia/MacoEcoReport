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joe.xia/Downloads/"/>
    </mc:Choice>
  </mc:AlternateContent>
  <xr:revisionPtr revIDLastSave="0" documentId="13_ncr:1_{376C15E6-DA00-DA4E-ADAB-96594585C4CE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仪表盘" sheetId="1" r:id="rId1"/>
    <sheet name="监控仪表盘" sheetId="2" r:id="rId2"/>
    <sheet name="数据源映射" sheetId="3" r:id="rId3"/>
    <sheet name="API代码映射" sheetId="4" r:id="rId4"/>
    <sheet name="模型总表" sheetId="5" r:id="rId5"/>
    <sheet name="README" sheetId="6" r:id="rId6"/>
    <sheet name="Dimensions" sheetId="7" r:id="rId7"/>
    <sheet name="Indicators" sheetId="8" r:id="rId8"/>
    <sheet name="Inputs" sheetId="9" r:id="rId9"/>
    <sheet name="Scores" sheetId="10" r:id="rId10"/>
    <sheet name="Alerts" sheetId="11" r:id="rId1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" i="10" l="1"/>
  <c r="G50" i="10"/>
  <c r="D50" i="10"/>
  <c r="E50" i="10" s="1"/>
  <c r="F50" i="10" s="1"/>
  <c r="C50" i="10"/>
  <c r="B50" i="10"/>
  <c r="I49" i="10"/>
  <c r="G49" i="10"/>
  <c r="D49" i="10"/>
  <c r="E49" i="10" s="1"/>
  <c r="F49" i="10" s="1"/>
  <c r="C49" i="10"/>
  <c r="B49" i="10"/>
  <c r="I48" i="10"/>
  <c r="G48" i="10"/>
  <c r="D48" i="10"/>
  <c r="E48" i="10" s="1"/>
  <c r="F48" i="10" s="1"/>
  <c r="C48" i="10"/>
  <c r="B48" i="10"/>
  <c r="I47" i="10"/>
  <c r="G47" i="10"/>
  <c r="D47" i="10"/>
  <c r="E47" i="10" s="1"/>
  <c r="F47" i="10" s="1"/>
  <c r="C47" i="10"/>
  <c r="B47" i="10"/>
  <c r="I46" i="10"/>
  <c r="G46" i="10"/>
  <c r="D46" i="10"/>
  <c r="E46" i="10" s="1"/>
  <c r="F46" i="10" s="1"/>
  <c r="C46" i="10"/>
  <c r="B46" i="10"/>
  <c r="I45" i="10"/>
  <c r="G45" i="10"/>
  <c r="D45" i="10"/>
  <c r="E45" i="10" s="1"/>
  <c r="F45" i="10" s="1"/>
  <c r="C45" i="10"/>
  <c r="B45" i="10"/>
  <c r="I44" i="10"/>
  <c r="G44" i="10"/>
  <c r="D44" i="10"/>
  <c r="E44" i="10" s="1"/>
  <c r="F44" i="10" s="1"/>
  <c r="C44" i="10"/>
  <c r="B44" i="10"/>
  <c r="I43" i="10"/>
  <c r="G43" i="10"/>
  <c r="D43" i="10"/>
  <c r="E43" i="10" s="1"/>
  <c r="F43" i="10" s="1"/>
  <c r="C43" i="10"/>
  <c r="B43" i="10"/>
  <c r="I42" i="10"/>
  <c r="G42" i="10"/>
  <c r="D42" i="10"/>
  <c r="E42" i="10" s="1"/>
  <c r="F42" i="10" s="1"/>
  <c r="C42" i="10"/>
  <c r="B42" i="10"/>
  <c r="I41" i="10"/>
  <c r="G41" i="10"/>
  <c r="D41" i="10"/>
  <c r="E41" i="10" s="1"/>
  <c r="F41" i="10" s="1"/>
  <c r="C41" i="10"/>
  <c r="B41" i="10"/>
  <c r="I40" i="10"/>
  <c r="G40" i="10"/>
  <c r="D40" i="10"/>
  <c r="E40" i="10" s="1"/>
  <c r="F40" i="10" s="1"/>
  <c r="C40" i="10"/>
  <c r="B40" i="10"/>
  <c r="I39" i="10"/>
  <c r="G39" i="10"/>
  <c r="D39" i="10"/>
  <c r="E12" i="11" s="1"/>
  <c r="K25" i="1" s="1"/>
  <c r="C39" i="10"/>
  <c r="B39" i="10"/>
  <c r="I38" i="10"/>
  <c r="G38" i="10"/>
  <c r="D38" i="10"/>
  <c r="E38" i="10" s="1"/>
  <c r="F38" i="10" s="1"/>
  <c r="C38" i="10"/>
  <c r="B38" i="10"/>
  <c r="I37" i="10"/>
  <c r="G37" i="10"/>
  <c r="D37" i="10"/>
  <c r="E37" i="10" s="1"/>
  <c r="F37" i="10" s="1"/>
  <c r="C37" i="10"/>
  <c r="B37" i="10"/>
  <c r="I36" i="10"/>
  <c r="G36" i="10"/>
  <c r="D36" i="10"/>
  <c r="E36" i="10" s="1"/>
  <c r="F36" i="10" s="1"/>
  <c r="C36" i="10"/>
  <c r="B36" i="10"/>
  <c r="I35" i="10"/>
  <c r="G35" i="10"/>
  <c r="D35" i="10"/>
  <c r="E35" i="10" s="1"/>
  <c r="F35" i="10" s="1"/>
  <c r="C35" i="10"/>
  <c r="B35" i="10"/>
  <c r="I34" i="10"/>
  <c r="G34" i="10"/>
  <c r="D34" i="10"/>
  <c r="E34" i="10" s="1"/>
  <c r="F34" i="10" s="1"/>
  <c r="C34" i="10"/>
  <c r="B34" i="10"/>
  <c r="I33" i="10"/>
  <c r="G33" i="10"/>
  <c r="D33" i="10"/>
  <c r="E33" i="10" s="1"/>
  <c r="F33" i="10" s="1"/>
  <c r="C33" i="10"/>
  <c r="B33" i="10"/>
  <c r="I32" i="10"/>
  <c r="G32" i="10"/>
  <c r="D32" i="10"/>
  <c r="E32" i="10" s="1"/>
  <c r="F32" i="10" s="1"/>
  <c r="C32" i="10"/>
  <c r="B32" i="10"/>
  <c r="I31" i="10"/>
  <c r="G31" i="10"/>
  <c r="D31" i="10"/>
  <c r="E31" i="10" s="1"/>
  <c r="F31" i="10" s="1"/>
  <c r="C31" i="10"/>
  <c r="B31" i="10"/>
  <c r="I30" i="10"/>
  <c r="G30" i="10"/>
  <c r="D30" i="10"/>
  <c r="E30" i="10" s="1"/>
  <c r="F30" i="10" s="1"/>
  <c r="C30" i="10"/>
  <c r="B30" i="10"/>
  <c r="I29" i="10"/>
  <c r="G29" i="10"/>
  <c r="D29" i="10"/>
  <c r="E29" i="10" s="1"/>
  <c r="F29" i="10" s="1"/>
  <c r="C29" i="10"/>
  <c r="B29" i="10"/>
  <c r="I28" i="10"/>
  <c r="G28" i="10"/>
  <c r="D28" i="10"/>
  <c r="E7" i="11" s="1"/>
  <c r="K20" i="1" s="1"/>
  <c r="C28" i="10"/>
  <c r="B28" i="10"/>
  <c r="I27" i="10"/>
  <c r="G27" i="10"/>
  <c r="D27" i="10"/>
  <c r="E27" i="10" s="1"/>
  <c r="F27" i="10" s="1"/>
  <c r="C27" i="10"/>
  <c r="B27" i="10"/>
  <c r="I26" i="10"/>
  <c r="G26" i="10"/>
  <c r="D26" i="10"/>
  <c r="E26" i="10" s="1"/>
  <c r="F26" i="10" s="1"/>
  <c r="C26" i="10"/>
  <c r="B26" i="10"/>
  <c r="I25" i="10"/>
  <c r="G25" i="10"/>
  <c r="D25" i="10"/>
  <c r="E25" i="10" s="1"/>
  <c r="F25" i="10" s="1"/>
  <c r="C25" i="10"/>
  <c r="B25" i="10"/>
  <c r="I24" i="10"/>
  <c r="G24" i="10"/>
  <c r="D24" i="10"/>
  <c r="E24" i="10" s="1"/>
  <c r="F24" i="10" s="1"/>
  <c r="C24" i="10"/>
  <c r="B24" i="10"/>
  <c r="I23" i="10"/>
  <c r="G23" i="10"/>
  <c r="D23" i="10"/>
  <c r="E8" i="11" s="1"/>
  <c r="K21" i="1" s="1"/>
  <c r="C23" i="10"/>
  <c r="B23" i="10"/>
  <c r="I22" i="10"/>
  <c r="G22" i="10"/>
  <c r="D22" i="10"/>
  <c r="E22" i="10" s="1"/>
  <c r="F22" i="10" s="1"/>
  <c r="C22" i="10"/>
  <c r="B22" i="10"/>
  <c r="I21" i="10"/>
  <c r="G21" i="10"/>
  <c r="D21" i="10"/>
  <c r="E21" i="10" s="1"/>
  <c r="F21" i="10" s="1"/>
  <c r="C21" i="10"/>
  <c r="B21" i="10"/>
  <c r="I20" i="10"/>
  <c r="G20" i="10"/>
  <c r="D20" i="10"/>
  <c r="E20" i="10" s="1"/>
  <c r="F20" i="10" s="1"/>
  <c r="C20" i="10"/>
  <c r="B20" i="10"/>
  <c r="I19" i="10"/>
  <c r="G19" i="10"/>
  <c r="D19" i="10"/>
  <c r="E19" i="10" s="1"/>
  <c r="F19" i="10" s="1"/>
  <c r="C19" i="10"/>
  <c r="B19" i="10"/>
  <c r="I18" i="10"/>
  <c r="G18" i="10"/>
  <c r="D18" i="10"/>
  <c r="E18" i="10" s="1"/>
  <c r="F18" i="10" s="1"/>
  <c r="C18" i="10"/>
  <c r="B18" i="10"/>
  <c r="I17" i="10"/>
  <c r="G17" i="10"/>
  <c r="D17" i="10"/>
  <c r="E17" i="10" s="1"/>
  <c r="F17" i="10" s="1"/>
  <c r="C17" i="10"/>
  <c r="B17" i="10"/>
  <c r="I16" i="10"/>
  <c r="G16" i="10"/>
  <c r="D16" i="10"/>
  <c r="E16" i="10" s="1"/>
  <c r="F16" i="10" s="1"/>
  <c r="C16" i="10"/>
  <c r="B16" i="10"/>
  <c r="I15" i="10"/>
  <c r="G15" i="10"/>
  <c r="D15" i="10"/>
  <c r="E11" i="11" s="1"/>
  <c r="K24" i="1" s="1"/>
  <c r="C15" i="10"/>
  <c r="B15" i="10"/>
  <c r="I14" i="10"/>
  <c r="G14" i="10"/>
  <c r="D14" i="10"/>
  <c r="E14" i="10" s="1"/>
  <c r="F14" i="10" s="1"/>
  <c r="C14" i="10"/>
  <c r="B14" i="10"/>
  <c r="I13" i="10"/>
  <c r="G13" i="10"/>
  <c r="D13" i="10"/>
  <c r="E13" i="10" s="1"/>
  <c r="F13" i="10" s="1"/>
  <c r="C13" i="10"/>
  <c r="B13" i="10"/>
  <c r="I12" i="10"/>
  <c r="G12" i="10"/>
  <c r="D12" i="10"/>
  <c r="E12" i="10" s="1"/>
  <c r="F12" i="10" s="1"/>
  <c r="C12" i="10"/>
  <c r="B12" i="10"/>
  <c r="I11" i="10"/>
  <c r="G11" i="10"/>
  <c r="D11" i="10"/>
  <c r="E11" i="10" s="1"/>
  <c r="F11" i="10" s="1"/>
  <c r="C11" i="10"/>
  <c r="B11" i="10"/>
  <c r="I10" i="10"/>
  <c r="G10" i="10"/>
  <c r="D10" i="10"/>
  <c r="E10" i="10" s="1"/>
  <c r="F10" i="10" s="1"/>
  <c r="C10" i="10"/>
  <c r="B10" i="10"/>
  <c r="I9" i="10"/>
  <c r="G9" i="10"/>
  <c r="D9" i="10"/>
  <c r="E9" i="10" s="1"/>
  <c r="F9" i="10" s="1"/>
  <c r="C9" i="10"/>
  <c r="B9" i="10"/>
  <c r="I8" i="10"/>
  <c r="G8" i="10"/>
  <c r="D8" i="10"/>
  <c r="E8" i="10" s="1"/>
  <c r="F8" i="10" s="1"/>
  <c r="C8" i="10"/>
  <c r="B8" i="10"/>
  <c r="I7" i="10"/>
  <c r="G7" i="10"/>
  <c r="D7" i="10"/>
  <c r="E7" i="10" s="1"/>
  <c r="F7" i="10" s="1"/>
  <c r="C7" i="10"/>
  <c r="B7" i="10"/>
  <c r="I6" i="10"/>
  <c r="G6" i="10"/>
  <c r="D6" i="10"/>
  <c r="E6" i="10" s="1"/>
  <c r="F6" i="10" s="1"/>
  <c r="C6" i="10"/>
  <c r="B6" i="10"/>
  <c r="G20" i="2"/>
  <c r="F20" i="2"/>
  <c r="B20" i="2"/>
  <c r="A20" i="2"/>
  <c r="G19" i="2"/>
  <c r="F19" i="2"/>
  <c r="B19" i="2"/>
  <c r="A19" i="2"/>
  <c r="G18" i="2"/>
  <c r="F18" i="2"/>
  <c r="B18" i="2"/>
  <c r="A18" i="2"/>
  <c r="G17" i="2"/>
  <c r="F17" i="2"/>
  <c r="B17" i="2"/>
  <c r="A17" i="2"/>
  <c r="G16" i="2"/>
  <c r="F16" i="2"/>
  <c r="B16" i="2"/>
  <c r="A16" i="2"/>
  <c r="G15" i="2"/>
  <c r="F15" i="2"/>
  <c r="B15" i="2"/>
  <c r="A15" i="2"/>
  <c r="G14" i="2"/>
  <c r="F14" i="2"/>
  <c r="B14" i="2"/>
  <c r="A14" i="2"/>
  <c r="G13" i="2"/>
  <c r="F13" i="2"/>
  <c r="B13" i="2"/>
  <c r="A13" i="2"/>
  <c r="G12" i="2"/>
  <c r="F12" i="2"/>
  <c r="B12" i="2"/>
  <c r="A12" i="2"/>
  <c r="G11" i="2"/>
  <c r="F11" i="2"/>
  <c r="B11" i="2"/>
  <c r="A11" i="2"/>
  <c r="G10" i="2"/>
  <c r="F10" i="2"/>
  <c r="B10" i="2"/>
  <c r="A10" i="2"/>
  <c r="G9" i="2"/>
  <c r="F9" i="2"/>
  <c r="B9" i="2"/>
  <c r="A9" i="2"/>
  <c r="G8" i="2"/>
  <c r="F8" i="2"/>
  <c r="B8" i="2"/>
  <c r="A8" i="2"/>
  <c r="G7" i="2"/>
  <c r="F7" i="2"/>
  <c r="B7" i="2"/>
  <c r="A7" i="2"/>
  <c r="B4" i="2"/>
  <c r="F26" i="1"/>
  <c r="E26" i="1"/>
  <c r="B26" i="1"/>
  <c r="A26" i="1"/>
  <c r="H25" i="1"/>
  <c r="F25" i="1"/>
  <c r="E25" i="1"/>
  <c r="B25" i="1"/>
  <c r="A25" i="1"/>
  <c r="H24" i="1"/>
  <c r="F24" i="1"/>
  <c r="E24" i="1"/>
  <c r="B24" i="1"/>
  <c r="A24" i="1"/>
  <c r="H23" i="1"/>
  <c r="F23" i="1"/>
  <c r="E23" i="1"/>
  <c r="B23" i="1"/>
  <c r="A23" i="1"/>
  <c r="H22" i="1"/>
  <c r="F22" i="1"/>
  <c r="E22" i="1"/>
  <c r="B22" i="1"/>
  <c r="A22" i="1"/>
  <c r="H21" i="1"/>
  <c r="F21" i="1"/>
  <c r="E21" i="1"/>
  <c r="B21" i="1"/>
  <c r="A21" i="1"/>
  <c r="H20" i="1"/>
  <c r="F20" i="1"/>
  <c r="E20" i="1"/>
  <c r="B20" i="1"/>
  <c r="A20" i="1"/>
  <c r="H19" i="1"/>
  <c r="F19" i="1"/>
  <c r="E19" i="1"/>
  <c r="B19" i="1"/>
  <c r="A19" i="1"/>
  <c r="F18" i="1"/>
  <c r="E18" i="1"/>
  <c r="B18" i="1"/>
  <c r="A18" i="1"/>
  <c r="F17" i="1"/>
  <c r="E17" i="1"/>
  <c r="B17" i="1"/>
  <c r="A17" i="1"/>
  <c r="F16" i="1"/>
  <c r="E16" i="1"/>
  <c r="B16" i="1"/>
  <c r="A16" i="1"/>
  <c r="F15" i="1"/>
  <c r="E15" i="1"/>
  <c r="B15" i="1"/>
  <c r="A15" i="1"/>
  <c r="F14" i="1"/>
  <c r="E14" i="1"/>
  <c r="B14" i="1"/>
  <c r="A14" i="1"/>
  <c r="F13" i="1"/>
  <c r="E13" i="1"/>
  <c r="B13" i="1"/>
  <c r="A13" i="1"/>
  <c r="B4" i="1"/>
  <c r="H49" i="10" l="1"/>
  <c r="H26" i="10"/>
  <c r="H34" i="10"/>
  <c r="H50" i="10"/>
  <c r="H38" i="10"/>
  <c r="H46" i="10"/>
  <c r="H7" i="10"/>
  <c r="H47" i="10"/>
  <c r="H18" i="10"/>
  <c r="H11" i="10"/>
  <c r="H19" i="10"/>
  <c r="H35" i="10"/>
  <c r="H13" i="10"/>
  <c r="H29" i="10"/>
  <c r="H37" i="10"/>
  <c r="H12" i="10"/>
  <c r="H20" i="10"/>
  <c r="H44" i="10"/>
  <c r="H9" i="10"/>
  <c r="H25" i="10"/>
  <c r="H41" i="10"/>
  <c r="H22" i="10"/>
  <c r="H43" i="10"/>
  <c r="H8" i="10"/>
  <c r="H16" i="10"/>
  <c r="H32" i="10"/>
  <c r="H40" i="10"/>
  <c r="H31" i="10"/>
  <c r="H27" i="10"/>
  <c r="H48" i="10"/>
  <c r="D68" i="10"/>
  <c r="D58" i="10"/>
  <c r="H17" i="10"/>
  <c r="H45" i="10"/>
  <c r="D67" i="10"/>
  <c r="H30" i="10"/>
  <c r="H21" i="10"/>
  <c r="H42" i="10"/>
  <c r="H33" i="10"/>
  <c r="D63" i="10" s="1"/>
  <c r="H14" i="10"/>
  <c r="H24" i="10"/>
  <c r="D60" i="10" s="1"/>
  <c r="H6" i="10"/>
  <c r="D55" i="10" s="1"/>
  <c r="H10" i="10"/>
  <c r="D56" i="10" s="1"/>
  <c r="H36" i="10"/>
  <c r="D9" i="11"/>
  <c r="E9" i="11"/>
  <c r="K22" i="1" s="1"/>
  <c r="D6" i="11"/>
  <c r="D10" i="11"/>
  <c r="E6" i="11"/>
  <c r="E10" i="11"/>
  <c r="K23" i="1" s="1"/>
  <c r="E15" i="10"/>
  <c r="F15" i="10" s="1"/>
  <c r="H15" i="10" s="1"/>
  <c r="E23" i="10"/>
  <c r="F23" i="10" s="1"/>
  <c r="H23" i="10" s="1"/>
  <c r="E28" i="10"/>
  <c r="F28" i="10" s="1"/>
  <c r="H28" i="10" s="1"/>
  <c r="E39" i="10"/>
  <c r="F39" i="10" s="1"/>
  <c r="D7" i="11"/>
  <c r="D11" i="11"/>
  <c r="D8" i="11"/>
  <c r="D12" i="11"/>
  <c r="D66" i="10" l="1"/>
  <c r="C18" i="2" s="1"/>
  <c r="D64" i="10"/>
  <c r="D62" i="10"/>
  <c r="C14" i="2" s="1"/>
  <c r="D57" i="10"/>
  <c r="C9" i="2" s="1"/>
  <c r="D61" i="10"/>
  <c r="C13" i="2" s="1"/>
  <c r="C7" i="2"/>
  <c r="C13" i="1"/>
  <c r="E55" i="10"/>
  <c r="C15" i="2"/>
  <c r="C21" i="1"/>
  <c r="E63" i="10"/>
  <c r="C8" i="2"/>
  <c r="E56" i="10"/>
  <c r="C14" i="1"/>
  <c r="C19" i="2"/>
  <c r="C25" i="1"/>
  <c r="E67" i="10"/>
  <c r="C24" i="1"/>
  <c r="E66" i="10"/>
  <c r="C10" i="2"/>
  <c r="C16" i="1"/>
  <c r="E58" i="10"/>
  <c r="C12" i="2"/>
  <c r="C18" i="1"/>
  <c r="E60" i="10"/>
  <c r="D59" i="10"/>
  <c r="C20" i="2"/>
  <c r="C26" i="1"/>
  <c r="E68" i="10"/>
  <c r="H39" i="10"/>
  <c r="D65" i="10" s="1"/>
  <c r="F5" i="2"/>
  <c r="K19" i="1"/>
  <c r="K4" i="1"/>
  <c r="C16" i="2"/>
  <c r="C22" i="1"/>
  <c r="E64" i="10"/>
  <c r="C20" i="1" l="1"/>
  <c r="E62" i="10"/>
  <c r="C15" i="1"/>
  <c r="E57" i="10"/>
  <c r="D15" i="1" s="1"/>
  <c r="C19" i="1"/>
  <c r="E61" i="10"/>
  <c r="D19" i="1" s="1"/>
  <c r="E65" i="10"/>
  <c r="C23" i="1"/>
  <c r="C17" i="2"/>
  <c r="D25" i="1"/>
  <c r="D19" i="2"/>
  <c r="D13" i="2"/>
  <c r="D20" i="1"/>
  <c r="D14" i="2"/>
  <c r="D20" i="2"/>
  <c r="D26" i="1"/>
  <c r="D16" i="2"/>
  <c r="D22" i="1"/>
  <c r="D10" i="2"/>
  <c r="D16" i="1"/>
  <c r="D24" i="1"/>
  <c r="D18" i="2"/>
  <c r="D8" i="2"/>
  <c r="D14" i="1"/>
  <c r="D13" i="1"/>
  <c r="D7" i="2"/>
  <c r="C11" i="2"/>
  <c r="C17" i="1"/>
  <c r="E59" i="10"/>
  <c r="D12" i="2"/>
  <c r="D18" i="1"/>
  <c r="D21" i="1"/>
  <c r="D15" i="2"/>
  <c r="D9" i="2" l="1"/>
  <c r="E69" i="10"/>
  <c r="D17" i="1"/>
  <c r="D11" i="2"/>
  <c r="D70" i="10"/>
  <c r="E70" i="10"/>
  <c r="D69" i="10"/>
  <c r="D23" i="1"/>
  <c r="D17" i="2"/>
  <c r="H14" i="1" l="1"/>
  <c r="I14" i="1" s="1"/>
  <c r="J15" i="1"/>
  <c r="K15" i="1" s="1"/>
  <c r="H16" i="1"/>
  <c r="I16" i="1" s="1"/>
  <c r="J14" i="1"/>
  <c r="K14" i="1" s="1"/>
  <c r="H15" i="1"/>
  <c r="I15" i="1" s="1"/>
  <c r="J16" i="1"/>
  <c r="K16" i="1" s="1"/>
  <c r="E4" i="2"/>
  <c r="F70" i="10"/>
  <c r="E4" i="1"/>
  <c r="H4" i="1" l="1"/>
  <c r="H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700-000001000000}">
      <text>
        <r>
          <rPr>
            <sz val="10"/>
            <rFont val="Arial"/>
            <family val="2"/>
            <charset val="1"/>
          </rPr>
          <t>主源参考: https://fred.stlouisfed.org/series/DGS10
Series/Code: DGS10 &amp; DGS3MO</t>
        </r>
      </text>
    </comment>
    <comment ref="F3" authorId="0" shapeId="0" xr:uid="{00000000-0006-0000-0700-000002000000}">
      <text>
        <r>
          <rPr>
            <sz val="10"/>
            <rFont val="Arial"/>
            <family val="2"/>
            <charset val="1"/>
          </rPr>
          <t>主源参考: https://fred.stlouisfed.org/series/SOFR
Series/Code: SOFR</t>
        </r>
      </text>
    </comment>
    <comment ref="F4" authorId="0" shapeId="0" xr:uid="{00000000-0006-0000-0700-000003000000}">
      <text>
        <r>
          <rPr>
            <sz val="10"/>
            <rFont val="Arial"/>
            <family val="2"/>
            <charset val="1"/>
          </rPr>
          <t>主源参考: https://fred.stlouisfed.org/series/WALCL
Series/Code: WALCL</t>
        </r>
      </text>
    </comment>
    <comment ref="F5" authorId="0" shapeId="0" xr:uid="{00000000-0006-0000-0700-000004000000}">
      <text>
        <r>
          <rPr>
            <sz val="10"/>
            <rFont val="Arial"/>
            <family val="2"/>
            <charset val="1"/>
          </rPr>
          <t>主源参考: (填你的来源或模型)
Series/Code: N/A</t>
        </r>
      </text>
    </comment>
    <comment ref="F6" authorId="0" shapeId="0" xr:uid="{00000000-0006-0000-0700-000005000000}">
      <text>
        <r>
          <rPr>
            <sz val="10"/>
            <rFont val="Arial"/>
            <family val="2"/>
            <charset val="1"/>
          </rPr>
          <t>主源参考: https://www.bea.gov/
Series/Code: GDP</t>
        </r>
      </text>
    </comment>
    <comment ref="F7" authorId="0" shapeId="0" xr:uid="{00000000-0006-0000-0700-000006000000}">
      <text>
        <r>
          <rPr>
            <sz val="10"/>
            <rFont val="Arial"/>
            <family val="2"/>
            <charset val="1"/>
          </rPr>
          <t>主源参考: (填你使用的PMI来源)
Series/Code: PMI</t>
        </r>
      </text>
    </comment>
    <comment ref="F8" authorId="0" shapeId="0" xr:uid="{00000000-0006-0000-0700-000007000000}">
      <text>
        <r>
          <rPr>
            <sz val="10"/>
            <rFont val="Arial"/>
            <family val="2"/>
            <charset val="1"/>
          </rPr>
          <t>主源参考: https://fred.stlouisfed.org/series/IC4WSA
Series/Code: IC4WSA</t>
        </r>
      </text>
    </comment>
    <comment ref="F9" authorId="0" shapeId="0" xr:uid="{00000000-0006-0000-0700-000008000000}">
      <text>
        <r>
          <rPr>
            <sz val="10"/>
            <rFont val="Arial"/>
            <family val="2"/>
            <charset val="1"/>
          </rPr>
          <t>主源参考: https://www.conference-board.org/
Series/Code: LEI YoY</t>
        </r>
      </text>
    </comment>
    <comment ref="F10" authorId="0" shapeId="0" xr:uid="{00000000-0006-0000-0700-000009000000}">
      <text>
        <r>
          <rPr>
            <sz val="10"/>
            <rFont val="Arial"/>
            <family val="2"/>
            <charset val="1"/>
          </rPr>
          <t>主源参考: https://fred.stlouisfed.org/series/CPILFESL
Series/Code: CPILFESL</t>
        </r>
      </text>
    </comment>
    <comment ref="F11" authorId="0" shapeId="0" xr:uid="{00000000-0006-0000-0700-00000A000000}">
      <text>
        <r>
          <rPr>
            <sz val="10"/>
            <rFont val="Arial"/>
            <family val="2"/>
            <charset val="1"/>
          </rPr>
          <t>主源参考: https://fred.stlouisfed.org/series/PCEPILFE
Series/Code: PCEPILFE</t>
        </r>
      </text>
    </comment>
    <comment ref="F12" authorId="0" shapeId="0" xr:uid="{00000000-0006-0000-0700-00000B000000}">
      <text>
        <r>
          <rPr>
            <sz val="10"/>
            <rFont val="Arial"/>
            <family val="2"/>
            <charset val="1"/>
          </rPr>
          <t>主源参考: https://fred.stlouisfed.org/series/T5YIFR
Series/Code: T5YIFR</t>
        </r>
      </text>
    </comment>
    <comment ref="F13" authorId="0" shapeId="0" xr:uid="{00000000-0006-0000-0700-00000C000000}">
      <text>
        <r>
          <rPr>
            <sz val="10"/>
            <rFont val="Arial"/>
            <family val="2"/>
            <charset val="1"/>
          </rPr>
          <t>主源参考: https://fred.stlouisfed.org/series/UNRATE
Series/Code: UNRATE</t>
        </r>
      </text>
    </comment>
    <comment ref="F14" authorId="0" shapeId="0" xr:uid="{00000000-0006-0000-0700-00000D000000}">
      <text>
        <r>
          <rPr>
            <sz val="10"/>
            <rFont val="Arial"/>
            <family val="2"/>
            <charset val="1"/>
          </rPr>
          <t>主源参考: https://fred.stlouisfed.org/series/CES0500000003
Series/Code: CES0500000003</t>
        </r>
      </text>
    </comment>
    <comment ref="F15" authorId="0" shapeId="0" xr:uid="{00000000-0006-0000-0700-00000E000000}">
      <text>
        <r>
          <rPr>
            <sz val="10"/>
            <rFont val="Arial"/>
            <family val="2"/>
            <charset val="1"/>
          </rPr>
          <t>主源参考: https://fred.stlouisfed.org/series/DRCCLACBS
Series/Code: DRCCLACBS</t>
        </r>
      </text>
    </comment>
    <comment ref="F16" authorId="0" shapeId="0" xr:uid="{00000000-0006-0000-0700-00000F000000}">
      <text>
        <r>
          <rPr>
            <sz val="10"/>
            <rFont val="Arial"/>
            <family val="2"/>
            <charset val="1"/>
          </rPr>
          <t>主源参考: https://fred.stlouisfed.org/series/DSPIC96
Series/Code: DSPIC96</t>
        </r>
      </text>
    </comment>
    <comment ref="F17" authorId="0" shapeId="0" xr:uid="{00000000-0006-0000-0700-000010000000}">
      <text>
        <r>
          <rPr>
            <sz val="10"/>
            <rFont val="Arial"/>
            <family val="2"/>
            <charset val="1"/>
          </rPr>
          <t>主源参考: (填你的数据源)
Series/Code: FWD PE</t>
        </r>
      </text>
    </comment>
    <comment ref="F18" authorId="0" shapeId="0" xr:uid="{00000000-0006-0000-0700-000011000000}">
      <text>
        <r>
          <rPr>
            <sz val="10"/>
            <rFont val="Arial"/>
            <family val="2"/>
            <charset val="1"/>
          </rPr>
          <t>主源参考: (填你的数据源)
Series/Code: EPS rev</t>
        </r>
      </text>
    </comment>
    <comment ref="F19" authorId="0" shapeId="0" xr:uid="{00000000-0006-0000-0700-000012000000}">
      <text>
        <r>
          <rPr>
            <sz val="10"/>
            <rFont val="Arial"/>
            <family val="2"/>
            <charset val="1"/>
          </rPr>
          <t>主源参考: https://fred.stlouisfed.org/series/BAMLH0A0HYM2
Series/Code: BAMLH0A0HYM2</t>
        </r>
      </text>
    </comment>
    <comment ref="F20" authorId="0" shapeId="0" xr:uid="{00000000-0006-0000-0700-000013000000}">
      <text>
        <r>
          <rPr>
            <sz val="10"/>
            <rFont val="Arial"/>
            <family val="2"/>
            <charset val="1"/>
          </rPr>
          <t>主源参考: https://www.freddiemac.com/pmms
Series/Code: PMMS</t>
        </r>
      </text>
    </comment>
    <comment ref="F21" authorId="0" shapeId="0" xr:uid="{00000000-0006-0000-0700-000014000000}">
      <text>
        <r>
          <rPr>
            <sz val="10"/>
            <rFont val="Arial"/>
            <family val="2"/>
            <charset val="1"/>
          </rPr>
          <t>主源参考: https://www.nar.realtor/
Series/Code: EHS</t>
        </r>
      </text>
    </comment>
    <comment ref="F22" authorId="0" shapeId="0" xr:uid="{00000000-0006-0000-0700-000015000000}">
      <text>
        <r>
          <rPr>
            <sz val="10"/>
            <rFont val="Arial"/>
            <family val="2"/>
            <charset val="1"/>
          </rPr>
          <t>主源参考: https://fred.stlouisfed.org/series/HOUST
Series/Code: HOUST</t>
        </r>
      </text>
    </comment>
    <comment ref="F23" authorId="0" shapeId="0" xr:uid="{00000000-0006-0000-0700-000016000000}">
      <text>
        <r>
          <rPr>
            <sz val="10"/>
            <rFont val="Arial"/>
            <family val="2"/>
            <charset val="1"/>
          </rPr>
          <t>主源参考: https://fred.stlouisfed.org/series/VIXCLS
Series/Code: VIXCLS</t>
        </r>
      </text>
    </comment>
    <comment ref="F24" authorId="0" shapeId="0" xr:uid="{00000000-0006-0000-0700-000017000000}">
      <text>
        <r>
          <rPr>
            <sz val="10"/>
            <rFont val="Arial"/>
            <family val="2"/>
            <charset val="1"/>
          </rPr>
          <t>主源参考: (填你使用的MOVE来源)
Series/Code: MOVE</t>
        </r>
      </text>
    </comment>
    <comment ref="F25" authorId="0" shapeId="0" xr:uid="{00000000-0006-0000-0700-000018000000}">
      <text>
        <r>
          <rPr>
            <sz val="10"/>
            <rFont val="Arial"/>
            <family val="2"/>
            <charset val="1"/>
          </rPr>
          <t>主源参考: (填你的来源)
Series/Code: N/A</t>
        </r>
      </text>
    </comment>
    <comment ref="F26" authorId="0" shapeId="0" xr:uid="{00000000-0006-0000-0700-000019000000}">
      <text>
        <r>
          <rPr>
            <sz val="10"/>
            <rFont val="Arial"/>
            <family val="2"/>
            <charset val="1"/>
          </rPr>
          <t>主源参考: (填你来源)
Series/Code: DXY</t>
        </r>
      </text>
    </comment>
    <comment ref="F27" authorId="0" shapeId="0" xr:uid="{00000000-0006-0000-0700-00001A000000}">
      <text>
        <r>
          <rPr>
            <sz val="10"/>
            <rFont val="Arial"/>
            <family val="2"/>
            <charset val="1"/>
          </rPr>
          <t>主源参考: (填你来源)
Series/Code: N/A</t>
        </r>
      </text>
    </comment>
    <comment ref="F28" authorId="0" shapeId="0" xr:uid="{00000000-0006-0000-0700-00001B000000}">
      <text>
        <r>
          <rPr>
            <sz val="10"/>
            <rFont val="Arial"/>
            <family val="2"/>
            <charset val="1"/>
          </rPr>
          <t>主源参考: (填你的来源)
Series/Code: TIC/EPFR</t>
        </r>
      </text>
    </comment>
    <comment ref="F29" authorId="0" shapeId="0" xr:uid="{00000000-0006-0000-0700-00001C000000}">
      <text>
        <r>
          <rPr>
            <sz val="10"/>
            <rFont val="Arial"/>
            <family val="2"/>
            <charset val="1"/>
          </rPr>
          <t>主源参考: https://www.cbo.gov/publication/62105
Series/Code: CBO baseline</t>
        </r>
      </text>
    </comment>
    <comment ref="F30" authorId="0" shapeId="0" xr:uid="{00000000-0006-0000-0700-00001D000000}">
      <text>
        <r>
          <rPr>
            <sz val="10"/>
            <rFont val="Arial"/>
            <family val="2"/>
            <charset val="1"/>
          </rPr>
          <t>主源参考: https://www.cbo.gov/publication/62105
Series/Code: CBO baseline</t>
        </r>
      </text>
    </comment>
    <comment ref="F31" authorId="0" shapeId="0" xr:uid="{00000000-0006-0000-0700-00001E000000}">
      <text>
        <r>
          <rPr>
            <sz val="10"/>
            <rFont val="Arial"/>
            <family val="2"/>
            <charset val="1"/>
          </rPr>
          <t>主源参考: (填你的来源)
Series/Code: N/A</t>
        </r>
      </text>
    </comment>
    <comment ref="F32" authorId="0" shapeId="0" xr:uid="{00000000-0006-0000-0700-00001F000000}">
      <text>
        <r>
          <rPr>
            <sz val="10"/>
            <rFont val="Arial"/>
            <family val="2"/>
            <charset val="1"/>
          </rPr>
          <t>主源参考: (填你来源)
Series/Code: FCI</t>
        </r>
      </text>
    </comment>
    <comment ref="F33" authorId="0" shapeId="0" xr:uid="{00000000-0006-0000-0700-000020000000}">
      <text>
        <r>
          <rPr>
            <sz val="10"/>
            <rFont val="Arial"/>
            <family val="2"/>
            <charset val="1"/>
          </rPr>
          <t>主源参考: (填你来源)
Series/Code: H.8</t>
        </r>
      </text>
    </comment>
    <comment ref="F34" authorId="0" shapeId="0" xr:uid="{00000000-0006-0000-0700-000021000000}">
      <text>
        <r>
          <rPr>
            <sz val="10"/>
            <rFont val="Arial"/>
            <family val="2"/>
            <charset val="1"/>
          </rPr>
          <t>主源参考: https://fred.stlouisfed.org/series/TEDRATE
Series/Code: TEDRATE</t>
        </r>
      </text>
    </comment>
    <comment ref="F35" authorId="0" shapeId="0" xr:uid="{00000000-0006-0000-0700-000022000000}">
      <text>
        <r>
          <rPr>
            <sz val="10"/>
            <rFont val="Arial"/>
            <family val="2"/>
            <charset val="1"/>
          </rPr>
          <t>主源参考: (填你来源)
Series/Code: WTI</t>
        </r>
      </text>
    </comment>
    <comment ref="F36" authorId="0" shapeId="0" xr:uid="{00000000-0006-0000-0700-000023000000}">
      <text>
        <r>
          <rPr>
            <sz val="10"/>
            <rFont val="Arial"/>
            <family val="2"/>
            <charset val="1"/>
          </rPr>
          <t>主源参考: (填你来源)
Series/Code: CRB</t>
        </r>
      </text>
    </comment>
    <comment ref="F37" authorId="0" shapeId="0" xr:uid="{00000000-0006-0000-0700-000024000000}">
      <text>
        <r>
          <rPr>
            <sz val="10"/>
            <rFont val="Arial"/>
            <family val="2"/>
            <charset val="1"/>
          </rPr>
          <t>主源参考: https://www.matteoiacoviello.com/gpr.htm
Series/Code: GPR</t>
        </r>
      </text>
    </comment>
    <comment ref="F38" authorId="0" shapeId="0" xr:uid="{00000000-0006-0000-0700-000025000000}">
      <text>
        <r>
          <rPr>
            <sz val="10"/>
            <rFont val="Arial"/>
            <family val="2"/>
            <charset val="1"/>
          </rPr>
          <t>主源参考: https://www.conference-board.org/
Series/Code: Consumer Confidence</t>
        </r>
      </text>
    </comment>
    <comment ref="F39" authorId="0" shapeId="0" xr:uid="{00000000-0006-0000-0700-000026000000}">
      <text>
        <r>
          <rPr>
            <sz val="10"/>
            <rFont val="Arial"/>
            <family val="2"/>
            <charset val="1"/>
          </rPr>
          <t>主源参考: https://www.conference-board.org/topics/CEO-Confidence/
Series/Code: CEO Confidence</t>
        </r>
      </text>
    </comment>
    <comment ref="F40" authorId="0" shapeId="0" xr:uid="{00000000-0006-0000-0700-000027000000}">
      <text>
        <r>
          <rPr>
            <sz val="10"/>
            <rFont val="Arial"/>
            <family val="2"/>
            <charset val="1"/>
          </rPr>
          <t>主源参考: https://www.policyuncertainty.com/
Series/Code: EPU</t>
        </r>
      </text>
    </comment>
    <comment ref="F41" authorId="0" shapeId="0" xr:uid="{00000000-0006-0000-0700-000028000000}">
      <text>
        <r>
          <rPr>
            <sz val="10"/>
            <rFont val="Arial"/>
            <family val="2"/>
            <charset val="1"/>
          </rPr>
          <t>主源参考: https://www.reuters.com/
Series/Code: AWS/Azure growth</t>
        </r>
      </text>
    </comment>
    <comment ref="F42" authorId="0" shapeId="0" xr:uid="{00000000-0006-0000-0700-000029000000}">
      <text>
        <r>
          <rPr>
            <sz val="10"/>
            <rFont val="Arial"/>
            <family val="2"/>
            <charset val="1"/>
          </rPr>
          <t>主源参考: (填你来源)
Series/Code: N/A</t>
        </r>
      </text>
    </comment>
    <comment ref="F43" authorId="0" shapeId="0" xr:uid="{00000000-0006-0000-0700-00002A000000}">
      <text>
        <r>
          <rPr>
            <sz val="10"/>
            <rFont val="Arial"/>
            <family val="2"/>
            <charset val="1"/>
          </rPr>
          <t>主源参考: (填你来源)
Series/Code: N/A</t>
        </r>
      </text>
    </comment>
    <comment ref="F44" authorId="0" shapeId="0" xr:uid="{00000000-0006-0000-0700-00002B000000}">
      <text>
        <r>
          <rPr>
            <sz val="10"/>
            <rFont val="Arial"/>
            <family val="2"/>
            <charset val="1"/>
          </rPr>
          <t>主源参考: https://coinmarketcap.com/currencies/bitcoin/
Series/Code: BTC</t>
        </r>
      </text>
    </comment>
    <comment ref="F45" authorId="0" shapeId="0" xr:uid="{00000000-0006-0000-0700-00002C000000}">
      <text>
        <r>
          <rPr>
            <sz val="10"/>
            <rFont val="Arial"/>
            <family val="2"/>
            <charset val="1"/>
          </rPr>
          <t>主源参考: https://coinmarketcap.com/currencies/usd-coin/
Series/Code: USDC</t>
        </r>
      </text>
    </comment>
    <comment ref="F46" authorId="0" shapeId="0" xr:uid="{00000000-0006-0000-0700-00002D000000}">
      <text>
        <r>
          <rPr>
            <sz val="10"/>
            <rFont val="Arial"/>
            <family val="2"/>
            <charset val="1"/>
          </rPr>
          <t>主源参考: https://coinmarketcap.com/view/stablecoin/
Series/Code: Stablecoins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Model</author>
    <author>OpenAI</author>
  </authors>
  <commentList>
    <comment ref="B2" authorId="0" shapeId="0" xr:uid="{00000000-0006-0000-0800-000001000000}">
      <text>
        <r>
          <rPr>
            <sz val="10"/>
            <rFont val="Arial"/>
            <family val="2"/>
            <charset val="1"/>
          </rPr>
          <t>填本次模型更新日期（例如 2026-03-01）</t>
        </r>
      </text>
    </comment>
    <comment ref="B7" authorId="1" shapeId="0" xr:uid="{00000000-0006-0000-0800-000002000000}">
      <text>
        <r>
          <rPr>
            <sz val="10"/>
            <rFont val="Arial"/>
            <family val="2"/>
            <charset val="1"/>
          </rPr>
          <t>样例值，接近 2026-02-26 官方收益率差（10Y≈4.02%, 3M≈3.68%）。
来源参考: https://fred.stlouisfed.org/series/DGS10</t>
        </r>
      </text>
    </comment>
    <comment ref="B8" authorId="1" shapeId="0" xr:uid="{00000000-0006-0000-0800-000003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https://fred.stlouisfed.org/series/SOFR</t>
        </r>
      </text>
    </comment>
    <comment ref="B9" authorId="1" shapeId="0" xr:uid="{00000000-0006-0000-0800-000004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https://fred.stlouisfed.org/series/WALCL</t>
        </r>
      </text>
    </comment>
    <comment ref="B10" authorId="1" shapeId="0" xr:uid="{00000000-0006-0000-0800-000005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(填你的来源或模型)</t>
        </r>
      </text>
    </comment>
    <comment ref="B11" authorId="1" shapeId="0" xr:uid="{00000000-0006-0000-0800-000006000000}">
      <text>
        <r>
          <rPr>
            <sz val="10"/>
            <rFont val="Arial"/>
            <family val="2"/>
            <charset val="1"/>
          </rPr>
          <t>样例值，对应 BEA 2025Q4 实际GDP环比折年 1.4%。
来源参考: https://www.bea.gov/</t>
        </r>
      </text>
    </comment>
    <comment ref="B12" authorId="1" shapeId="0" xr:uid="{00000000-0006-0000-0800-000007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(填你使用的PMI来源)</t>
        </r>
      </text>
    </comment>
    <comment ref="B13" authorId="1" shapeId="0" xr:uid="{00000000-0006-0000-0800-000008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https://fred.stlouisfed.org/series/IC4WSA</t>
        </r>
      </text>
    </comment>
    <comment ref="B14" authorId="1" shapeId="0" xr:uid="{00000000-0006-0000-0800-000009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https://www.conference-board.org/</t>
        </r>
      </text>
    </comment>
    <comment ref="B15" authorId="1" shapeId="0" xr:uid="{00000000-0006-0000-0800-00000A000000}">
      <text>
        <r>
          <rPr>
            <sz val="10"/>
            <rFont val="Arial"/>
            <family val="2"/>
            <charset val="1"/>
          </rPr>
          <t>样例值，对应 2026年1月核心CPI同比 2.5%。
来源参考: https://fred.stlouisfed.org/series/CPILFESL</t>
        </r>
      </text>
    </comment>
    <comment ref="B16" authorId="1" shapeId="0" xr:uid="{00000000-0006-0000-0800-00000B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https://fred.stlouisfed.org/series/PCEPILFE</t>
        </r>
      </text>
    </comment>
    <comment ref="B17" authorId="1" shapeId="0" xr:uid="{00000000-0006-0000-0800-00000C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https://fred.stlouisfed.org/series/T5YIFR</t>
        </r>
      </text>
    </comment>
    <comment ref="B18" authorId="1" shapeId="0" xr:uid="{00000000-0006-0000-0800-00000D000000}">
      <text>
        <r>
          <rPr>
            <sz val="10"/>
            <rFont val="Arial"/>
            <family val="2"/>
            <charset val="1"/>
          </rPr>
          <t>样例值，对应 2026年1月失业率 4.3%。
来源参考: https://fred.stlouisfed.org/series/UNRATE</t>
        </r>
      </text>
    </comment>
    <comment ref="B19" authorId="1" shapeId="0" xr:uid="{00000000-0006-0000-0800-00000E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https://fred.stlouisfed.org/series/CES0500000003</t>
        </r>
      </text>
    </comment>
    <comment ref="B20" authorId="1" shapeId="0" xr:uid="{00000000-0006-0000-0800-00000F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https://fred.stlouisfed.org/series/DRCCLACBS</t>
        </r>
      </text>
    </comment>
    <comment ref="B21" authorId="1" shapeId="0" xr:uid="{00000000-0006-0000-0800-000010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https://fred.stlouisfed.org/series/DSPIC96</t>
        </r>
      </text>
    </comment>
    <comment ref="B22" authorId="1" shapeId="0" xr:uid="{00000000-0006-0000-0800-000011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(填你的数据源)</t>
        </r>
      </text>
    </comment>
    <comment ref="B23" authorId="1" shapeId="0" xr:uid="{00000000-0006-0000-0800-000012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(填你的数据源)</t>
        </r>
      </text>
    </comment>
    <comment ref="B24" authorId="1" shapeId="0" xr:uid="{00000000-0006-0000-0800-000013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https://fred.stlouisfed.org/series/BAMLH0A0HYM2</t>
        </r>
      </text>
    </comment>
    <comment ref="B25" authorId="1" shapeId="0" xr:uid="{00000000-0006-0000-0800-000014000000}">
      <text>
        <r>
          <rPr>
            <sz val="10"/>
            <rFont val="Arial"/>
            <family val="2"/>
            <charset val="1"/>
          </rPr>
          <t>样例值，对应 Freddie Mac 2026-02-26 30Y FRM 5.98%。
来源参考: https://www.freddiemac.com/pmms</t>
        </r>
      </text>
    </comment>
    <comment ref="B26" authorId="1" shapeId="0" xr:uid="{00000000-0006-0000-0800-000015000000}">
      <text>
        <r>
          <rPr>
            <sz val="10"/>
            <rFont val="Arial"/>
            <family val="2"/>
            <charset val="1"/>
          </rPr>
          <t>样例值，对应 NAR 2026年1月成屋销售折年 3.91M。
来源参考: https://www.nar.realtor/</t>
        </r>
      </text>
    </comment>
    <comment ref="B27" authorId="1" shapeId="0" xr:uid="{00000000-0006-0000-0800-000016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https://fred.stlouisfed.org/series/HOUST</t>
        </r>
      </text>
    </comment>
    <comment ref="B28" authorId="1" shapeId="0" xr:uid="{00000000-0006-0000-0800-000017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https://fred.stlouisfed.org/series/VIXCLS</t>
        </r>
      </text>
    </comment>
    <comment ref="B29" authorId="1" shapeId="0" xr:uid="{00000000-0006-0000-0800-000018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(填你使用的MOVE来源)</t>
        </r>
      </text>
    </comment>
    <comment ref="B30" authorId="1" shapeId="0" xr:uid="{00000000-0006-0000-0800-000019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(填你的来源)</t>
        </r>
      </text>
    </comment>
    <comment ref="B31" authorId="1" shapeId="0" xr:uid="{00000000-0006-0000-0800-00001A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(填你来源)</t>
        </r>
      </text>
    </comment>
    <comment ref="B32" authorId="1" shapeId="0" xr:uid="{00000000-0006-0000-0800-00001B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(填你来源)</t>
        </r>
      </text>
    </comment>
    <comment ref="B33" authorId="1" shapeId="0" xr:uid="{00000000-0006-0000-0800-00001C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(填你的来源)</t>
        </r>
      </text>
    </comment>
    <comment ref="B34" authorId="1" shapeId="0" xr:uid="{00000000-0006-0000-0800-00001D000000}">
      <text>
        <r>
          <rPr>
            <sz val="10"/>
            <rFont val="Arial"/>
            <family val="2"/>
            <charset val="1"/>
          </rPr>
          <t>样例值，对应 CBO 2026 基线赤字/GDP 约 5.8%。
来源参考: https://www.cbo.gov/publication/62105</t>
        </r>
      </text>
    </comment>
    <comment ref="B35" authorId="1" shapeId="0" xr:uid="{00000000-0006-0000-0800-00001E000000}">
      <text>
        <r>
          <rPr>
            <sz val="10"/>
            <rFont val="Arial"/>
            <family val="2"/>
            <charset val="1"/>
          </rPr>
          <t>样例值，对应 CBO 2026 债务/GDP 约 101%。
来源参考: https://www.cbo.gov/publication/62105</t>
        </r>
      </text>
    </comment>
    <comment ref="B36" authorId="1" shapeId="0" xr:uid="{00000000-0006-0000-0800-00001F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(填你的来源)</t>
        </r>
      </text>
    </comment>
    <comment ref="B37" authorId="1" shapeId="0" xr:uid="{00000000-0006-0000-0800-000020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(填你来源)</t>
        </r>
      </text>
    </comment>
    <comment ref="B38" authorId="1" shapeId="0" xr:uid="{00000000-0006-0000-0800-000021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(填你来源)</t>
        </r>
      </text>
    </comment>
    <comment ref="B39" authorId="1" shapeId="0" xr:uid="{00000000-0006-0000-0800-000022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https://fred.stlouisfed.org/series/TEDRATE</t>
        </r>
      </text>
    </comment>
    <comment ref="B40" authorId="1" shapeId="0" xr:uid="{00000000-0006-0000-0800-000023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(填你来源)</t>
        </r>
      </text>
    </comment>
    <comment ref="B41" authorId="1" shapeId="0" xr:uid="{00000000-0006-0000-0800-000024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(填你来源)</t>
        </r>
      </text>
    </comment>
    <comment ref="B42" authorId="1" shapeId="0" xr:uid="{00000000-0006-0000-0800-000025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https://www.matteoiacoviello.com/gpr.htm</t>
        </r>
      </text>
    </comment>
    <comment ref="B43" authorId="1" shapeId="0" xr:uid="{00000000-0006-0000-0800-000026000000}">
      <text>
        <r>
          <rPr>
            <sz val="10"/>
            <rFont val="Arial"/>
            <family val="2"/>
            <charset val="1"/>
          </rPr>
          <t>样例值，对应 2026年2月消费者信心 91.2。
来源参考: https://www.conference-board.org/</t>
        </r>
      </text>
    </comment>
    <comment ref="B44" authorId="1" shapeId="0" xr:uid="{00000000-0006-0000-0800-000027000000}">
      <text>
        <r>
          <rPr>
            <sz val="10"/>
            <rFont val="Arial"/>
            <family val="2"/>
            <charset val="1"/>
          </rPr>
          <t>样例值，对应 2026Q1 CEO Confidence 59。
来源参考: https://www.conference-board.org/topics/CEO-Confidence/</t>
        </r>
      </text>
    </comment>
    <comment ref="B45" authorId="1" shapeId="0" xr:uid="{00000000-0006-0000-0800-000028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https://www.policyuncertainty.com/</t>
        </r>
      </text>
    </comment>
    <comment ref="B46" authorId="1" shapeId="0" xr:uid="{00000000-0006-0000-0800-000029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https://www.reuters.com/</t>
        </r>
      </text>
    </comment>
    <comment ref="B47" authorId="1" shapeId="0" xr:uid="{00000000-0006-0000-0800-00002A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(填你来源)</t>
        </r>
      </text>
    </comment>
    <comment ref="B48" authorId="1" shapeId="0" xr:uid="{00000000-0006-0000-0800-00002B000000}">
      <text>
        <r>
          <rPr>
            <sz val="10"/>
            <rFont val="Arial"/>
            <family val="2"/>
            <charset val="1"/>
          </rPr>
          <t>演示样例值；请用你自己的权威数据源替换。
来源参考: (填你来源)</t>
        </r>
      </text>
    </comment>
    <comment ref="B49" authorId="1" shapeId="0" xr:uid="{00000000-0006-0000-0800-00002C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https://coinmarketcap.com/currencies/bitcoin/</t>
        </r>
      </text>
    </comment>
    <comment ref="B50" authorId="1" shapeId="0" xr:uid="{00000000-0006-0000-0800-00002D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https://coinmarketcap.com/currencies/usd-coin/</t>
        </r>
      </text>
    </comment>
    <comment ref="B51" authorId="1" shapeId="0" xr:uid="{00000000-0006-0000-0800-00002E000000}">
      <text>
        <r>
          <rPr>
            <sz val="10"/>
            <rFont val="Arial"/>
            <family val="2"/>
            <charset val="1"/>
          </rPr>
          <t>演示样例值；请用你自己的权威数据源替换。
来源参考: https://coinmarketcap.com/view/stablecoin/</t>
        </r>
      </text>
    </comment>
  </commentList>
</comments>
</file>

<file path=xl/sharedStrings.xml><?xml version="1.0" encoding="utf-8"?>
<sst xmlns="http://schemas.openxmlformats.org/spreadsheetml/2006/main" count="1577" uniqueCount="576">
  <si>
    <t>更新日</t>
  </si>
  <si>
    <t>总分</t>
  </si>
  <si>
    <t>状态</t>
  </si>
  <si>
    <t>触发预警</t>
  </si>
  <si>
    <t>执行摘要</t>
  </si>
  <si>
    <t>模型定位</t>
  </si>
  <si>
    <t>用 14 个维度把“增长 / 通胀 / 流动性 / 风险 / 财政 / 外部 / 主题”放在一张图里。</t>
  </si>
  <si>
    <t>当前阅读方式</t>
  </si>
  <si>
    <t>先看总分与状态，再看预警灯号，最后看维度贡献与拖累项。</t>
  </si>
  <si>
    <t>建议动作</t>
  </si>
  <si>
    <t>若预警&gt;=2条且总分跌入45以下，建议转向防御；若总分持续站上60且预警清零，可提高风险偏好。</t>
  </si>
  <si>
    <t>维度</t>
  </si>
  <si>
    <t>权重</t>
  </si>
  <si>
    <t>维度分</t>
  </si>
  <si>
    <t>贡献</t>
  </si>
  <si>
    <t>层级</t>
  </si>
  <si>
    <t>更新频率</t>
  </si>
  <si>
    <t>关键看点</t>
  </si>
  <si>
    <t>前三支撑</t>
  </si>
  <si>
    <t>前三拖累</t>
  </si>
  <si>
    <t>预警明细</t>
  </si>
  <si>
    <t>YES=触发</t>
  </si>
  <si>
    <t>模型更新日</t>
  </si>
  <si>
    <t>预警统计</t>
  </si>
  <si>
    <t>条触发</t>
  </si>
  <si>
    <t>主题</t>
  </si>
  <si>
    <t>说明</t>
  </si>
  <si>
    <t>使用提示：蓝色表签用于录入与参数；橙色/红色表签用于结果与预警。样例数据版仅作演示，不构成投资判断。</t>
  </si>
  <si>
    <t>14维机构级模型｜数据源映射与抓取口径</t>
  </si>
  <si>
    <t>用途</t>
  </si>
  <si>
    <t>把每个指标的“主数据源 / 备选源 / 建议代码 / 更新频率 / 单位 / 抓取说明”统一到一张表，便于团队周更。</t>
  </si>
  <si>
    <t>IndicatorCode</t>
  </si>
  <si>
    <t>DimensionID</t>
  </si>
  <si>
    <t>IndicatorName</t>
  </si>
  <si>
    <t>主数据源</t>
  </si>
  <si>
    <t>建议系列代码/字段</t>
  </si>
  <si>
    <t>备选源</t>
  </si>
  <si>
    <t>单位</t>
  </si>
  <si>
    <t>抓取说明</t>
  </si>
  <si>
    <t>备注</t>
  </si>
  <si>
    <t>YC_10Y3M</t>
  </si>
  <si>
    <t>D01</t>
  </si>
  <si>
    <t>10Y-3M利差（bps）</t>
  </si>
  <si>
    <t>FRED (H.15)</t>
  </si>
  <si>
    <t>DGS10 &amp; DGS3MO</t>
  </si>
  <si>
    <t>https://fred.stlouisfed.org/series/DGS10</t>
  </si>
  <si>
    <t>Daily</t>
  </si>
  <si>
    <t>bps</t>
  </si>
  <si>
    <t>建议固定单一主源，减少口径切换。</t>
  </si>
  <si>
    <t>SOFR</t>
  </si>
  <si>
    <t>SOFR（%）</t>
  </si>
  <si>
    <t>NY Fed / FRED</t>
  </si>
  <si>
    <t>https://fred.stlouisfed.org/series/SOFR</t>
  </si>
  <si>
    <t>%</t>
  </si>
  <si>
    <t>FED_ASSETS</t>
  </si>
  <si>
    <t>美联储总资产（$T）</t>
  </si>
  <si>
    <t>FRED (H.4.1)</t>
  </si>
  <si>
    <t>WALCL</t>
  </si>
  <si>
    <t>https://fred.stlouisfed.org/series/WALCL</t>
  </si>
  <si>
    <t>Weekly</t>
  </si>
  <si>
    <t>$T</t>
  </si>
  <si>
    <t>NET_LIQ_PROXY</t>
  </si>
  <si>
    <t>净流动性代理（自定义）</t>
  </si>
  <si>
    <t>自定义（FRED / Treasury / NY Fed）</t>
  </si>
  <si>
    <t>WALCL, WTREGEN, RRPONTSYD</t>
  </si>
  <si>
    <t>BTFP/准备金数据</t>
  </si>
  <si>
    <t>index</t>
  </si>
  <si>
    <t>推荐公式：Fed总资产 - TGA - RRP；先统一单位后再填入 Inputs。</t>
  </si>
  <si>
    <t>最好保留你的内部版本定义</t>
  </si>
  <si>
    <t>GDP_QOQ_SAAR</t>
  </si>
  <si>
    <t>D02</t>
  </si>
  <si>
    <t>实际GDP环比折年（%）</t>
  </si>
  <si>
    <t>BEA</t>
  </si>
  <si>
    <t>GDP</t>
  </si>
  <si>
    <t>FRED</t>
  </si>
  <si>
    <t>Quarterly</t>
  </si>
  <si>
    <t>优先用官方首发/修订值；保持同一版次。</t>
  </si>
  <si>
    <t>PMI_MAN</t>
  </si>
  <si>
    <t>制造业PMI</t>
  </si>
  <si>
    <t>ISM/S&amp;P</t>
  </si>
  <si>
    <t>PMI</t>
  </si>
  <si>
    <t>S&amp;P Global / Conference Board</t>
  </si>
  <si>
    <t>Monthly</t>
  </si>
  <si>
    <t>软数据易波动，建议用3M均值。</t>
  </si>
  <si>
    <t>CLAIMS_4WMA</t>
  </si>
  <si>
    <t>初请失业金四周均值</t>
  </si>
  <si>
    <t>IC4WSA</t>
  </si>
  <si>
    <t>https://fred.stlouisfed.org/series/IC4WSA</t>
  </si>
  <si>
    <t>k</t>
  </si>
  <si>
    <t>LEI</t>
  </si>
  <si>
    <t>领先指标（LEI）同比（%）</t>
  </si>
  <si>
    <t>Conference Board</t>
  </si>
  <si>
    <t>LEI YoY</t>
  </si>
  <si>
    <t>https://www.conference-board.org/</t>
  </si>
  <si>
    <t>CORE_CPI_YOY</t>
  </si>
  <si>
    <t>D03</t>
  </si>
  <si>
    <t>核心CPI同比（%）</t>
  </si>
  <si>
    <t>BLS/FRED</t>
  </si>
  <si>
    <t>CPILFESL</t>
  </si>
  <si>
    <t>https://fred.stlouisfed.org/series/CPILFESL</t>
  </si>
  <si>
    <t>CORE_PCE_YOY</t>
  </si>
  <si>
    <t>核心PCE同比（%）</t>
  </si>
  <si>
    <t>BEA/FRED</t>
  </si>
  <si>
    <t>PCEPILFE</t>
  </si>
  <si>
    <t>BREAKEVEN_5Y5Y</t>
  </si>
  <si>
    <t>5Y5Y通胀预期（%）</t>
  </si>
  <si>
    <t>T5YIFR</t>
  </si>
  <si>
    <t>https://fred.stlouisfed.org/series/T5YIFR</t>
  </si>
  <si>
    <t>UNRATE</t>
  </si>
  <si>
    <t>D04</t>
  </si>
  <si>
    <t>失业率（%）</t>
  </si>
  <si>
    <t>https://fred.stlouisfed.org/series/UNRATE</t>
  </si>
  <si>
    <t>WAGE_GROWTH</t>
  </si>
  <si>
    <t>平均时薪同比（%）</t>
  </si>
  <si>
    <t>CES0500000003</t>
  </si>
  <si>
    <t>https://fred.stlouisfed.org/series/CES0500000003</t>
  </si>
  <si>
    <t>CC_DELINQ</t>
  </si>
  <si>
    <t>信用卡拖欠率（%）</t>
  </si>
  <si>
    <t>DRCCLACBS</t>
  </si>
  <si>
    <t>https://fred.stlouisfed.org/series/DRCCLACBS</t>
  </si>
  <si>
    <t>REAL_DISP_INC</t>
  </si>
  <si>
    <t>实际可支配收入同比（%）</t>
  </si>
  <si>
    <t>DSPIC96</t>
  </si>
  <si>
    <t>https://fred.stlouisfed.org/series/DSPIC96</t>
  </si>
  <si>
    <t>SPX_FWD_PE</t>
  </si>
  <si>
    <t>D05</t>
  </si>
  <si>
    <t>标普500 Forward P/E（x）</t>
  </si>
  <si>
    <t>FactSet/S&amp;P</t>
  </si>
  <si>
    <t>FWD PE</t>
  </si>
  <si>
    <t>x</t>
  </si>
  <si>
    <t>EPS_REV_BREADTH</t>
  </si>
  <si>
    <t>EPS修正广度（上调-下调，%）</t>
  </si>
  <si>
    <t>IBES/FactSet</t>
  </si>
  <si>
    <t>EPS rev</t>
  </si>
  <si>
    <t>HY_OAS</t>
  </si>
  <si>
    <t>高收益信用利差OAS（bps）</t>
  </si>
  <si>
    <t>BAMLH0A0HYM2</t>
  </si>
  <si>
    <t>https://fred.stlouisfed.org/series/BAMLH0A0HYM2</t>
  </si>
  <si>
    <t>MORTGAGE_30Y</t>
  </si>
  <si>
    <t>D06</t>
  </si>
  <si>
    <t>30年按揭利率（%）</t>
  </si>
  <si>
    <t>Freddie Mac</t>
  </si>
  <si>
    <t>PMMS</t>
  </si>
  <si>
    <t>https://www.freddiemac.com/pmms</t>
  </si>
  <si>
    <t>EXIST_HOME_SALES</t>
  </si>
  <si>
    <t>成屋销售折年（百万套）</t>
  </si>
  <si>
    <t>NAR</t>
  </si>
  <si>
    <t>EHS</t>
  </si>
  <si>
    <t>https://www.nar.realtor/</t>
  </si>
  <si>
    <t>M</t>
  </si>
  <si>
    <t>HOUSING_STARTS</t>
  </si>
  <si>
    <t>新屋开工（百万套）</t>
  </si>
  <si>
    <t>Census/FRED</t>
  </si>
  <si>
    <t>HOUST</t>
  </si>
  <si>
    <t>https://fred.stlouisfed.org/series/HOUST</t>
  </si>
  <si>
    <t>VIX</t>
  </si>
  <si>
    <t>D07</t>
  </si>
  <si>
    <t>CBOE/FRED</t>
  </si>
  <si>
    <t>VIXCLS</t>
  </si>
  <si>
    <t>https://fred.stlouisfed.org/series/VIXCLS</t>
  </si>
  <si>
    <t>MOVE</t>
  </si>
  <si>
    <t>ICE</t>
  </si>
  <si>
    <t>SPX_DD_3M</t>
  </si>
  <si>
    <t>标普500近3个月最大回撤（%）</t>
  </si>
  <si>
    <t>User Calc</t>
  </si>
  <si>
    <t>N/A</t>
  </si>
  <si>
    <t>DXY</t>
  </si>
  <si>
    <t>D08</t>
  </si>
  <si>
    <t>美元指数DXY</t>
  </si>
  <si>
    <t>ICE/公开行情</t>
  </si>
  <si>
    <t>US_JP_10Y_SPREAD</t>
  </si>
  <si>
    <t>美日10Y利差（bps）</t>
  </si>
  <si>
    <t>FRED/BOJ</t>
  </si>
  <si>
    <t>CAPITAL_FLOWS</t>
  </si>
  <si>
    <t>海外净买入美国资产（自定义）</t>
  </si>
  <si>
    <t>Treasury TIC/EPFR</t>
  </si>
  <si>
    <t>TIC/EPFR</t>
  </si>
  <si>
    <t>$B</t>
  </si>
  <si>
    <t>DEFICIT_GDP</t>
  </si>
  <si>
    <t>D09</t>
  </si>
  <si>
    <t>财政赤字/GDP（%）</t>
  </si>
  <si>
    <t>CBO</t>
  </si>
  <si>
    <t>CBO baseline</t>
  </si>
  <si>
    <t>https://www.cbo.gov/publication/62105</t>
  </si>
  <si>
    <t>Annual/Quarterly</t>
  </si>
  <si>
    <t>DEBT_GDP</t>
  </si>
  <si>
    <t>债务/GDP（%）</t>
  </si>
  <si>
    <t>Annual</t>
  </si>
  <si>
    <t>INT_REV</t>
  </si>
  <si>
    <t>利息支出/财政收入（%）</t>
  </si>
  <si>
    <t>Treasury/CBO</t>
  </si>
  <si>
    <t>FCI</t>
  </si>
  <si>
    <t>D10</t>
  </si>
  <si>
    <t>金融条件指数（FCI）</t>
  </si>
  <si>
    <t>GS/Chicago Fed</t>
  </si>
  <si>
    <t>BANK_LENDING</t>
  </si>
  <si>
    <t>银行信贷增速（% YoY）</t>
  </si>
  <si>
    <t>Fed H.8</t>
  </si>
  <si>
    <t>H.8</t>
  </si>
  <si>
    <t>Weekly/Monthly</t>
  </si>
  <si>
    <t>TED_SPREAD</t>
  </si>
  <si>
    <t>TED利差（bps）</t>
  </si>
  <si>
    <t>TEDRATE</t>
  </si>
  <si>
    <t>https://fred.stlouisfed.org/series/TEDRATE</t>
  </si>
  <si>
    <t>WTI</t>
  </si>
  <si>
    <t>D11</t>
  </si>
  <si>
    <t>WTI原油（$/桶）</t>
  </si>
  <si>
    <t>NYMEX/公开行情</t>
  </si>
  <si>
    <t>$/bbl</t>
  </si>
  <si>
    <t>CRB</t>
  </si>
  <si>
    <t>大宗商品指数（CRB）同比（%）</t>
  </si>
  <si>
    <t>Refinitiv/公开</t>
  </si>
  <si>
    <t>GPR</t>
  </si>
  <si>
    <t>地缘政治风险指数（GPR）</t>
  </si>
  <si>
    <t>Caldara &amp; Iacoviello</t>
  </si>
  <si>
    <t>官方站点 / FRED / PolicyUncertainty</t>
  </si>
  <si>
    <t>若无稳定自动抓取，可改为月度手工更新。</t>
  </si>
  <si>
    <t>CB_CONS_CONF</t>
  </si>
  <si>
    <t>D12</t>
  </si>
  <si>
    <t>消费者信心指数</t>
  </si>
  <si>
    <t>Consumer Confidence</t>
  </si>
  <si>
    <t>CEO_CONF</t>
  </si>
  <si>
    <t>CEO Confidence</t>
  </si>
  <si>
    <t>EPU</t>
  </si>
  <si>
    <t>经济政策不确定性（EPU）</t>
  </si>
  <si>
    <t>policyuncertainty.com</t>
  </si>
  <si>
    <t>CLOUD_AI_GROWTH</t>
  </si>
  <si>
    <t>D13</t>
  </si>
  <si>
    <t>云业务增速（加权，% YoY）</t>
  </si>
  <si>
    <t>财报/主流媒体</t>
  </si>
  <si>
    <t>AWS/Azure growth</t>
  </si>
  <si>
    <t>https://www.reuters.com/</t>
  </si>
  <si>
    <t>AI_CAPEX_GUIDE</t>
  </si>
  <si>
    <t>AI相关Capex指引（自定义）</t>
  </si>
  <si>
    <t>财报</t>
  </si>
  <si>
    <t>SEMI_BOOK_BILL</t>
  </si>
  <si>
    <t>半导体景气代理（Book-to-Bill）</t>
  </si>
  <si>
    <t>SIA/SEMI</t>
  </si>
  <si>
    <t>ratio</t>
  </si>
  <si>
    <t>BTC</t>
  </si>
  <si>
    <t>D14</t>
  </si>
  <si>
    <t>BTC价格（$）</t>
  </si>
  <si>
    <t>CoinMarketCap</t>
  </si>
  <si>
    <t>CoinMarketCap / DefiLlama</t>
  </si>
  <si>
    <t>$</t>
  </si>
  <si>
    <t>建议固定同一数据源，避免不同口径跳变。</t>
  </si>
  <si>
    <t>USDC_MCAP</t>
  </si>
  <si>
    <t>USDC市值（$B）</t>
  </si>
  <si>
    <t>USDC</t>
  </si>
  <si>
    <t>STABLECOIN_DOM</t>
  </si>
  <si>
    <t>稳定币总市值（$B）</t>
  </si>
  <si>
    <t>Stablecoins</t>
  </si>
  <si>
    <t>https://coinmarketcap.com/view/stablecoin/</t>
  </si>
  <si>
    <t>常用数据源代码映射</t>
  </si>
  <si>
    <t>Source</t>
  </si>
  <si>
    <t>典型指标</t>
  </si>
  <si>
    <t>建议代码/端点</t>
  </si>
  <si>
    <t>官网/入口</t>
  </si>
  <si>
    <t>更新时间</t>
  </si>
  <si>
    <t>单位规范</t>
  </si>
  <si>
    <t>优先级</t>
  </si>
  <si>
    <t>利率、曲线、Fed资产、失业率、信用利差</t>
  </si>
  <si>
    <t>DGS10 / DGS3MO / SOFR / WALCL / UNRATE / BAMLH0A0HYM2</t>
  </si>
  <si>
    <t>https://fred.stlouisfed.org/</t>
  </si>
  <si>
    <t>Daily/Weekly/Monthly</t>
  </si>
  <si>
    <t>% / bps / $bn</t>
  </si>
  <si>
    <t>高</t>
  </si>
  <si>
    <t>宏观主源，最适合做机构版周更</t>
  </si>
  <si>
    <t>GDP、PCE、可支配收入</t>
  </si>
  <si>
    <t>NIPA Tables / GDP / PCEPI</t>
  </si>
  <si>
    <t>https://www.bea.gov/</t>
  </si>
  <si>
    <t>Quarterly/Monthly</t>
  </si>
  <si>
    <t>% / $bn</t>
  </si>
  <si>
    <t>增长与收入类优先官方</t>
  </si>
  <si>
    <t>BLS</t>
  </si>
  <si>
    <t>CPI、工资、就业</t>
  </si>
  <si>
    <t>CUSR... / CES...</t>
  </si>
  <si>
    <t>https://www.bls.gov/</t>
  </si>
  <si>
    <t>% / index / k</t>
  </si>
  <si>
    <t>通胀与就业官方源</t>
  </si>
  <si>
    <t>Treasury</t>
  </si>
  <si>
    <t>TGA、财政收支、债务</t>
  </si>
  <si>
    <t>Daily Treasury Statement / Debt to the Penny</t>
  </si>
  <si>
    <t>https://fiscaldata.treasury.gov/</t>
  </si>
  <si>
    <t>Daily/Monthly</t>
  </si>
  <si>
    <t>$bn / %GDP</t>
  </si>
  <si>
    <t>财政与流动性必备</t>
  </si>
  <si>
    <t>NY Fed</t>
  </si>
  <si>
    <t>SOFR、RRP、调查预期</t>
  </si>
  <si>
    <t>SOFR / ON RRP</t>
  </si>
  <si>
    <t>https://www.newyorkfed.org/</t>
  </si>
  <si>
    <t>货币市场主源</t>
  </si>
  <si>
    <t>30Y Mortgage Rate</t>
  </si>
  <si>
    <t>地产融资成本</t>
  </si>
  <si>
    <t>NAR / Census</t>
  </si>
  <si>
    <t>成屋销售、新屋开工</t>
  </si>
  <si>
    <t>Existing Home Sales / HOUST</t>
  </si>
  <si>
    <t>mn saar</t>
  </si>
  <si>
    <t>中</t>
  </si>
  <si>
    <t>地产景气</t>
  </si>
  <si>
    <t>FactSet / Bloomberg</t>
  </si>
  <si>
    <t>Forward P/E、EPS修正</t>
  </si>
  <si>
    <t>Custom field</t>
  </si>
  <si>
    <t>终端/订阅</t>
  </si>
  <si>
    <t>Daily/Weekly</t>
  </si>
  <si>
    <t>x / %</t>
  </si>
  <si>
    <t>企业估值与盈利</t>
  </si>
  <si>
    <t>ICE / CBOE</t>
  </si>
  <si>
    <t>DXY / MOVE / VIX</t>
  </si>
  <si>
    <t>官网/终端</t>
  </si>
  <si>
    <t>市场状态</t>
  </si>
  <si>
    <t>Conference Board / NFIB</t>
  </si>
  <si>
    <t>消费者/CEO/小企业信心</t>
  </si>
  <si>
    <t>CCI / CEO Confidence / NFIB</t>
  </si>
  <si>
    <t>官网</t>
  </si>
  <si>
    <t>Monthly/Quarterly</t>
  </si>
  <si>
    <t>软数据</t>
  </si>
  <si>
    <t>BTC / USDC / stablecoin</t>
  </si>
  <si>
    <t>asset endpoint</t>
  </si>
  <si>
    <t>官网/API</t>
  </si>
  <si>
    <t>$ / $bn</t>
  </si>
  <si>
    <t>低</t>
  </si>
  <si>
    <t>主题面板，不宜高权重</t>
  </si>
  <si>
    <t>宏观经济监控模型（最终版14维）｜样例数据版</t>
  </si>
  <si>
    <t>用途：机构级宏观监控 / 投资决策 / 月度或周度复盘。原则：只将可验证、可持续抓取、可历史回溯的指标纳入总分。</t>
  </si>
  <si>
    <t>维度ID</t>
  </si>
  <si>
    <t>维度名称</t>
  </si>
  <si>
    <t>核心监控指标（建议）</t>
  </si>
  <si>
    <t>评分方式</t>
  </si>
  <si>
    <t>货币政策与流动性</t>
  </si>
  <si>
    <t>Core Macro</t>
  </si>
  <si>
    <t>12%</t>
  </si>
  <si>
    <t>10Y-3M利差；SOFR/EFFR；美联储总资产；净流动性代理（Fed-TGA-RRP）</t>
  </si>
  <si>
    <t>日/周</t>
  </si>
  <si>
    <t>线性+截尾</t>
  </si>
  <si>
    <t>建议重点跟踪净流动性而非单独看TGA</t>
  </si>
  <si>
    <t>增长与前瞻</t>
  </si>
  <si>
    <t>11%</t>
  </si>
  <si>
    <t>实际GDP环比折年；制造业PMI；初请失业金4周均值；LEI同比</t>
  </si>
  <si>
    <t>周/月/季</t>
  </si>
  <si>
    <t>区间最优+线性</t>
  </si>
  <si>
    <t>前瞻指标权重应高于滞后指标</t>
  </si>
  <si>
    <t>通胀与价格压力</t>
  </si>
  <si>
    <t>10%</t>
  </si>
  <si>
    <t>核心CPI；核心PCE；5Y5Y通胀预期</t>
  </si>
  <si>
    <t>月</t>
  </si>
  <si>
    <t>区间最优</t>
  </si>
  <si>
    <t>建议将2%~2.5%设为较优区间</t>
  </si>
  <si>
    <t>就业与居民部门</t>
  </si>
  <si>
    <t>失业率；工资增速；信用卡拖欠率；实际可支配收入同比</t>
  </si>
  <si>
    <t>月/季</t>
  </si>
  <si>
    <t>线性+区间</t>
  </si>
  <si>
    <t>兼顾就业强弱与居民资产负债表压力</t>
  </si>
  <si>
    <t>企业盈利与信用</t>
  </si>
  <si>
    <t>8%</t>
  </si>
  <si>
    <t>标普500 Forward P/E；EPS修正广度；HY OAS</t>
  </si>
  <si>
    <t>日/周/月</t>
  </si>
  <si>
    <t>删除难以稳定复现的主观ERP假设</t>
  </si>
  <si>
    <t>房地产与利率敏感部门</t>
  </si>
  <si>
    <t>6%</t>
  </si>
  <si>
    <t>30年按揭利率；成屋销售；新屋开工</t>
  </si>
  <si>
    <t>周/月</t>
  </si>
  <si>
    <t>同时看融资成本、交易量和供给</t>
  </si>
  <si>
    <t>风险偏好与跨资产波动</t>
  </si>
  <si>
    <t>Market Mapping</t>
  </si>
  <si>
    <t>VIX；MOVE；3个月最大回撤</t>
  </si>
  <si>
    <t>LowerBetter</t>
  </si>
  <si>
    <t>适合作为市场映射维度</t>
  </si>
  <si>
    <t>外部部门与美元条件</t>
  </si>
  <si>
    <t>Policy/External</t>
  </si>
  <si>
    <t>7%</t>
  </si>
  <si>
    <t>DXY/REER；美日利差；海外净买入美国资产</t>
  </si>
  <si>
    <t>贸易差额建议配合资本流入一起看</t>
  </si>
  <si>
    <t>财政政策与债务约束</t>
  </si>
  <si>
    <t>财政赤字/GDP；债务/GDP；利息支出/财政收入</t>
  </si>
  <si>
    <t>月/季/年</t>
  </si>
  <si>
    <t>利息负担通常比债务存量更关键</t>
  </si>
  <si>
    <t>金融条件与信用传导</t>
  </si>
  <si>
    <t>FCI；银行信贷增速；TED利差</t>
  </si>
  <si>
    <t>线性</t>
  </si>
  <si>
    <t>关注政策如何传导至实体融资条件</t>
  </si>
  <si>
    <t>大宗商品与能源/地缘风险</t>
  </si>
  <si>
    <t>External Shock</t>
  </si>
  <si>
    <t>5%</t>
  </si>
  <si>
    <t>WTI；CRB同比；GPR指数</t>
  </si>
  <si>
    <t>日/月</t>
  </si>
  <si>
    <t>地缘风险必须使用明确数值序列</t>
  </si>
  <si>
    <t>信心与不确定性</t>
  </si>
  <si>
    <t>Soft Data</t>
  </si>
  <si>
    <t>消费者信心；CEO Confidence；EPU</t>
  </si>
  <si>
    <t>线性+3M均值</t>
  </si>
  <si>
    <t>软数据建议降噪后再看</t>
  </si>
  <si>
    <t>AI资本开支周期</t>
  </si>
  <si>
    <t>Theme</t>
  </si>
  <si>
    <t>4%</t>
  </si>
  <si>
    <t>云业务增速；AI Capex指引；半导体景气代理</t>
  </si>
  <si>
    <t>季/月</t>
  </si>
  <si>
    <t>作为主题面板保留，避免权重过高</t>
  </si>
  <si>
    <t>加密与稳定币流动性</t>
  </si>
  <si>
    <t>1%</t>
  </si>
  <si>
    <t>BTC；USDC市值；稳定币总市值</t>
  </si>
  <si>
    <t>线性/趋势</t>
  </si>
  <si>
    <t>建议长期改为趋势与波动组合</t>
  </si>
  <si>
    <t>评分规则（建议正式版）</t>
  </si>
  <si>
    <t>单指标：使用历史分位数或线性/区间最优映射到0–100分；维度分：维度内加权平均；总分：Σ(维度分×权重)。</t>
  </si>
  <si>
    <t>状态区间</t>
  </si>
  <si>
    <t>75–100 扩张偏热；60–75 温和扩张；45–60 中性脆弱；30–45 防御区；0–30 衰退/危机区。</t>
  </si>
  <si>
    <t>使用建议</t>
  </si>
  <si>
    <t>总分用于战略判断；Alerts页红黄灯用于战术风控；AI/Crypto 建议作为主题景气面板而非主宏观驱动。</t>
  </si>
  <si>
    <t>关联工作表</t>
  </si>
  <si>
    <t>Dimensions：维度定义；Indicators：指标库与参数；Inputs：填写最新值；Scores：自动算分；Alerts：预警触发。</t>
  </si>
  <si>
    <t>宏观经济监控模型（机构级）— 带样例数据版</t>
  </si>
  <si>
    <t>使用方式（建议）</t>
  </si>
  <si>
    <t>1) 本工作簿已预填一版截至 2026-03-01 左右的演示样例值。
2) 样例值主要用于展示打分框架如何运行，不代表完整投资建议。
3) 替换 Inputs 中蓝色单元格后，Scores / 仪表盘 / Alerts 会自动更新。</t>
  </si>
  <si>
    <t>评分口径（默认）</t>
  </si>
  <si>
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</si>
  <si>
    <t>颜色约定</t>
  </si>
  <si>
    <t>蓝色：可编辑输入/可调参数；黑色：公式计算；橙色/红色：预警/异常。</t>
  </si>
  <si>
    <t>新增工作表</t>
  </si>
  <si>
    <t>数据源映射 / API代码映射 / 董事会Dashboard</t>
  </si>
  <si>
    <t>建议使用顺序</t>
  </si>
  <si>
    <t>1) Inputs填数 2) Scores看分 3) Alerts看灯号 4) 董事会Dashboard汇报</t>
  </si>
  <si>
    <t>维护建议</t>
  </si>
  <si>
    <t>优先锁定宏观主源（FRED/BEA/BLS/Treasury），主题面板固定单一数据源避免口径跳变。</t>
  </si>
  <si>
    <t>DimensionName</t>
  </si>
  <si>
    <t>Tier</t>
  </si>
  <si>
    <t>Weight(%)</t>
  </si>
  <si>
    <t>Definition</t>
  </si>
  <si>
    <t>Typical Update</t>
  </si>
  <si>
    <t>利率曲线、短端资金利率、央行资产负债表与净流动性。</t>
  </si>
  <si>
    <t>GDP/PMI/订单/初请等前瞻增长信号。</t>
  </si>
  <si>
    <t>Weekly/Monthly/Quarterly</t>
  </si>
  <si>
    <t>核心通胀与通胀预期，判断政策约束与利润压力。</t>
  </si>
  <si>
    <t>就业、收入与居民信用压力。</t>
  </si>
  <si>
    <t>盈利预期修正与信用利差/违约压力。</t>
  </si>
  <si>
    <t>按揭利率、成交与开工，反映利率传导。</t>
  </si>
  <si>
    <t>VIX/MOVE/信用利差等市场风险映射。</t>
  </si>
  <si>
    <t>Policy &amp; External</t>
  </si>
  <si>
    <t>DXY/利差/资本流动等外部融资条件。</t>
  </si>
  <si>
    <t>赤字、利息负担与债务路径。</t>
  </si>
  <si>
    <t>Quarterly/Annual</t>
  </si>
  <si>
    <t>金融条件指数、银行信贷供给与资金面压力。</t>
  </si>
  <si>
    <t>External/Commodities</t>
  </si>
  <si>
    <t>油价/商品与地缘风险对通胀与增长的冲击。</t>
  </si>
  <si>
    <t>消费者/企业信心与政策不确定性。</t>
  </si>
  <si>
    <t>AI资本开支周期（主题）</t>
  </si>
  <si>
    <t>Theme Panel</t>
  </si>
  <si>
    <t>云与AI资本开支/营收动能（不应喧宾夺主）。</t>
  </si>
  <si>
    <t>加密与稳定币流动性（主题）</t>
  </si>
  <si>
    <t>稳定币与链上流动性（低权重主题观察）。</t>
  </si>
  <si>
    <t>Units</t>
  </si>
  <si>
    <t>Frequency</t>
  </si>
  <si>
    <t>SourceURL</t>
  </si>
  <si>
    <t>Series/Code</t>
  </si>
  <si>
    <t>ScaleType</t>
  </si>
  <si>
    <t>Direction</t>
  </si>
  <si>
    <t>Best</t>
  </si>
  <si>
    <t>Worst</t>
  </si>
  <si>
    <t>WorstLow</t>
  </si>
  <si>
    <t>TargetLow</t>
  </si>
  <si>
    <t>TargetHigh</t>
  </si>
  <si>
    <t>WorstHigh</t>
  </si>
  <si>
    <t>CapLow</t>
  </si>
  <si>
    <t>CapHigh</t>
  </si>
  <si>
    <t>WeightWithinDim</t>
  </si>
  <si>
    <t>Notes</t>
  </si>
  <si>
    <t>Linear</t>
  </si>
  <si>
    <t>HigherBetter</t>
  </si>
  <si>
    <t>在 Scores 表用(10Y-3M)输入；建议直接填利差值。</t>
  </si>
  <si>
    <t>可替换为EFFR或短端实际利率。</t>
  </si>
  <si>
    <t>用于衡量QE/QT方向；也可改为YoY变化。</t>
  </si>
  <si>
    <t>(填你的来源或模型)</t>
  </si>
  <si>
    <t>建议：Fed资产- TGA - RRP（需你定义并填值）。</t>
  </si>
  <si>
    <t>TargetBand</t>
  </si>
  <si>
    <t>TargetRange</t>
  </si>
  <si>
    <t>区间内更理想；衰退/过热都扣分。</t>
  </si>
  <si>
    <t>(填你使用的PMI来源)</t>
  </si>
  <si>
    <t>&gt;=50扩张；过热也可能引发通胀/政策收紧。</t>
  </si>
  <si>
    <t>越低越好。</t>
  </si>
  <si>
    <t>需要你接入LEI数据。</t>
  </si>
  <si>
    <t>目标区间可按你的政策偏好调整。</t>
  </si>
  <si>
    <t>https://fred.stlouisfed.org/series/PCEPILFE</t>
  </si>
  <si>
    <t>更贴近美联储目标。</t>
  </si>
  <si>
    <t>也可用10Y BEI等。</t>
  </si>
  <si>
    <t>过低可能偏热；过高是衰退信号。</t>
  </si>
  <si>
    <t>工资过高可能推升服务通胀。</t>
  </si>
  <si>
    <t>也可加车贷/学生贷。</t>
  </si>
  <si>
    <t>用YoY变化需你在 Inputs 填值。</t>
  </si>
  <si>
    <t>(填你的数据源)</t>
  </si>
  <si>
    <t>若你无FactSet，可用公开估值替代。</t>
  </si>
  <si>
    <t>无数据则先留空。</t>
  </si>
  <si>
    <t>信用压力核心指标。</t>
  </si>
  <si>
    <t>用PMMS周度。</t>
  </si>
  <si>
    <t>反映交易活跃度。</t>
  </si>
  <si>
    <t>更前瞻。</t>
  </si>
  <si>
    <t>(填你使用的MOVE来源)</t>
  </si>
  <si>
    <t>可用公开报价源；确保口径一致。</t>
  </si>
  <si>
    <t>(填你的来源)</t>
  </si>
  <si>
    <t>可选，用于风险状态。</t>
  </si>
  <si>
    <t>(填你来源)</t>
  </si>
  <si>
    <t>美元过强/过弱都可能带来问题。</t>
  </si>
  <si>
    <t>利差过大=套息/汇率波动风险上升，方向可按策略调整。</t>
  </si>
  <si>
    <t>无数据可暂留空。</t>
  </si>
  <si>
    <t>越低越可持续。</t>
  </si>
  <si>
    <t>强烈建议加入，体现财政挤出。</t>
  </si>
  <si>
    <t>FCI越高越紧。</t>
  </si>
  <si>
    <t>过低=信用收缩。</t>
  </si>
  <si>
    <t>资金面压力信号。</t>
  </si>
  <si>
    <t>过高推通胀；过低或反映需求弱。</t>
  </si>
  <si>
    <t>需你填YoY变化。</t>
  </si>
  <si>
    <t>https://www.matteoiacoviello.com/gpr.htm</t>
  </si>
  <si>
    <t>务必填具体数值，不要只写“低位”。</t>
  </si>
  <si>
    <t>https://www.conference-board.org/topics/CEO-Confidence/</t>
  </si>
  <si>
    <t>&gt;50偏正面。</t>
  </si>
  <si>
    <t>https://www.policyuncertainty.com/</t>
  </si>
  <si>
    <t>不确定性越高越差。</t>
  </si>
  <si>
    <t>可用AWS+Azure+GCP加权。</t>
  </si>
  <si>
    <t>将指引上修/下修编码为指数。</t>
  </si>
  <si>
    <t>无则留空。</t>
  </si>
  <si>
    <t>https://coinmarketcap.com/currencies/bitcoin/</t>
  </si>
  <si>
    <t>更合理是用趋势/波动而非绝对价。</t>
  </si>
  <si>
    <t>https://coinmarketcap.com/currencies/usd-coin/</t>
  </si>
  <si>
    <t>稳定币扩张是链上流动性信号。</t>
  </si>
  <si>
    <t>若无总市值可暂空。</t>
  </si>
  <si>
    <t>Inputs（填最新值）</t>
  </si>
  <si>
    <t>AsOf（模型更新日期）</t>
  </si>
  <si>
    <t>2026-03-01</t>
  </si>
  <si>
    <t>蓝色单元格为输入。IndicatorCode 建议用下拉选择，避免拼写错误。</t>
  </si>
  <si>
    <t>LatestValue</t>
  </si>
  <si>
    <t>ValueDate</t>
  </si>
  <si>
    <t>SourceDate</t>
  </si>
  <si>
    <t>样例值，接近 2026-02-26 官方收益率差（10Y≈4.02%, 3M≈3.68%）。</t>
  </si>
  <si>
    <t>演示样例值；请用你自己的权威数据源替换。</t>
  </si>
  <si>
    <t>样例值，对应 BEA 2025Q4 实际GDP环比折年 1.4%。</t>
  </si>
  <si>
    <t>样例值，对应 2026年1月核心CPI同比 2.5%。</t>
  </si>
  <si>
    <t>样例值，对应 2026年1月失业率 4.3%。</t>
  </si>
  <si>
    <t>样例值，对应 Freddie Mac 2026-02-26 30Y FRM 5.98%。</t>
  </si>
  <si>
    <t>样例值，对应 NAR 2026年1月成屋销售折年 3.91M。</t>
  </si>
  <si>
    <t>样例值，对应 CBO 2026 基线赤字/GDP 约 5.8%。</t>
  </si>
  <si>
    <t>样例值，对应 CBO 2026 债务/GDP 约 101%。</t>
  </si>
  <si>
    <t>样例值，对应 2026年2月消费者信心 91.2。</t>
  </si>
  <si>
    <t>样例值，对应 2026Q1 CEO Confidence 59。</t>
  </si>
  <si>
    <t>Scores（自动计算）</t>
  </si>
  <si>
    <t>指标分数</t>
  </si>
  <si>
    <t>CappedValue</t>
  </si>
  <si>
    <t>Score(0-100)</t>
  </si>
  <si>
    <t>WeightedScore</t>
  </si>
  <si>
    <t>维度分数汇总</t>
  </si>
  <si>
    <t>DimWeight(%)</t>
  </si>
  <si>
    <t>DimScore(0-100)</t>
  </si>
  <si>
    <t>WeightedContribution</t>
  </si>
  <si>
    <t>TOTAL</t>
  </si>
  <si>
    <t>Alerts（红黄灯触发）</t>
  </si>
  <si>
    <t>建议：把此页当作风控信号，不纳入总分平滑。</t>
  </si>
  <si>
    <t>AlertID</t>
  </si>
  <si>
    <t>Level</t>
  </si>
  <si>
    <t>Condition (简述)</t>
  </si>
  <si>
    <t>Formula (参考)</t>
  </si>
  <si>
    <t>Triggered?</t>
  </si>
  <si>
    <t>A01</t>
  </si>
  <si>
    <t>RED</t>
  </si>
  <si>
    <t>VIX &gt; 30</t>
  </si>
  <si>
    <t>A02</t>
  </si>
  <si>
    <t>MOVE &gt; 140</t>
  </si>
  <si>
    <t>A03</t>
  </si>
  <si>
    <t>YELLOW</t>
  </si>
  <si>
    <t>HY OAS &gt; 600bps</t>
  </si>
  <si>
    <t>A04</t>
  </si>
  <si>
    <t>10Y-3M &lt; -50bps</t>
  </si>
  <si>
    <t>A05</t>
  </si>
  <si>
    <t>失业率 &gt; 6%</t>
  </si>
  <si>
    <t>A06</t>
  </si>
  <si>
    <t>核心PCE &gt; 3.5%</t>
  </si>
  <si>
    <t>A07</t>
  </si>
  <si>
    <t>WTI &gt; $100</t>
  </si>
  <si>
    <t>14维机构级宏观监控模型｜仪表盘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</si>
</sst>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yyyy\-mm\-dd"/>
    <numFmt numFmtId="166" formatCode="0.0%"/>
  </numFmts>
  <fonts count="23">
    <font>
      <sz val="10"/>
      <name val="Arial"/>
      <family val="2"/>
      <charset val="1"/>
    </font>
    <font>
      <b/>
      <sz val="18"/>
      <color rgb="FFFFFF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2"/>
      <name val="Cambria"/>
      <family val="1"/>
    </font>
    <font>
      <b/>
      <sz val="11"/>
      <name val="Cambria"/>
      <family val="1"/>
    </font>
    <font>
      <sz val="11"/>
      <color theme="1"/>
      <name val="Noto Sans CJK SC"/>
      <family val="2"/>
      <charset val="1"/>
    </font>
    <font>
      <sz val="11"/>
      <color theme="1"/>
      <name val="Calibri"/>
      <family val="2"/>
      <charset val="1"/>
    </font>
    <font>
      <i/>
      <sz val="11"/>
      <color rgb="FF1F1F1F"/>
      <name val="Noto Sans CJK SC"/>
      <family val="2"/>
      <charset val="1"/>
    </font>
    <font>
      <b/>
      <sz val="16"/>
      <color rgb="FFFFFFFF"/>
      <name val="Noto Sans CJK SC"/>
      <family val="2"/>
      <charset val="1"/>
    </font>
    <font>
      <b/>
      <sz val="11"/>
      <name val="Noto Sans CJK SC"/>
      <family val="2"/>
      <charset val="1"/>
    </font>
    <font>
      <b/>
      <sz val="11"/>
      <color rgb="FFFFFFFF"/>
      <name val="Cambria"/>
      <family val="1"/>
    </font>
    <font>
      <b/>
      <sz val="15"/>
      <color rgb="FFFFFFFF"/>
      <name val="Noto Sans CJK SC"/>
      <family val="2"/>
      <charset val="1"/>
    </font>
    <font>
      <b/>
      <sz val="11"/>
      <color rgb="FF17365D"/>
      <name val="Noto Sans CJK SC"/>
      <family val="2"/>
      <charset val="1"/>
    </font>
    <font>
      <b/>
      <sz val="14"/>
      <color rgb="FFFFFFFF"/>
      <name val="Cambria"/>
      <family val="1"/>
    </font>
    <font>
      <b/>
      <sz val="11"/>
      <color rgb="FF17365D"/>
      <name val="Cambria"/>
      <family val="1"/>
    </font>
    <font>
      <sz val="11"/>
      <color rgb="FF0000FF"/>
      <name val="Cambria"/>
      <family val="1"/>
    </font>
    <font>
      <sz val="11"/>
      <color rgb="FF1F4E79"/>
      <name val="Noto Sans CJK SC"/>
      <family val="2"/>
      <charset val="1"/>
    </font>
    <font>
      <b/>
      <sz val="12"/>
      <color rgb="FF17365D"/>
      <name val="Noto Sans CJK SC"/>
      <family val="2"/>
      <charset val="1"/>
    </font>
    <font>
      <b/>
      <sz val="16"/>
      <color rgb="FFFFFFFF"/>
      <name val="Arial"/>
      <family val="2"/>
    </font>
    <font>
      <b/>
      <sz val="10"/>
      <color rgb="FF1F4E78"/>
      <name val="Arial"/>
      <family val="2"/>
    </font>
    <font>
      <b/>
      <sz val="10"/>
      <color rgb="FFFFFFFF"/>
      <name val="Arial"/>
      <family val="2"/>
    </font>
    <font>
      <b/>
      <sz val="14"/>
      <name val="Arial"/>
      <family val="2"/>
    </font>
    <font>
      <i/>
      <sz val="9"/>
      <color rgb="FFC55A11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5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5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0" fontId="9" fillId="9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vertical="top" wrapText="1"/>
    </xf>
    <xf numFmtId="0" fontId="5" fillId="10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6" fillId="6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9" fillId="4" borderId="1" xfId="0" applyFont="1" applyFill="1" applyBorder="1" applyAlignment="1">
      <alignment vertical="top" wrapText="1"/>
    </xf>
    <xf numFmtId="0" fontId="9" fillId="10" borderId="1" xfId="0" applyFont="1" applyFill="1" applyBorder="1" applyAlignment="1">
      <alignment vertical="top" wrapText="1"/>
    </xf>
    <xf numFmtId="0" fontId="12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10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10" fillId="2" borderId="1" xfId="0" applyFont="1" applyFill="1" applyBorder="1" applyAlignment="1">
      <alignment horizontal="center" wrapText="1"/>
    </xf>
    <xf numFmtId="0" fontId="14" fillId="0" borderId="1" xfId="0" applyFont="1" applyBorder="1"/>
    <xf numFmtId="165" fontId="15" fillId="4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/>
    <xf numFmtId="0" fontId="15" fillId="12" borderId="1" xfId="0" applyFont="1" applyFill="1" applyBorder="1" applyAlignment="1">
      <alignment horizontal="left" vertical="top" wrapText="1"/>
    </xf>
    <xf numFmtId="0" fontId="15" fillId="13" borderId="1" xfId="0" applyFont="1" applyFill="1" applyBorder="1" applyAlignment="1">
      <alignment horizontal="left" vertical="top" wrapText="1"/>
    </xf>
    <xf numFmtId="165" fontId="15" fillId="14" borderId="1" xfId="0" applyNumberFormat="1" applyFont="1" applyFill="1" applyBorder="1" applyAlignment="1">
      <alignment horizontal="left" vertical="top" wrapText="1"/>
    </xf>
    <xf numFmtId="0" fontId="16" fillId="14" borderId="1" xfId="0" applyFont="1" applyFill="1" applyBorder="1" applyAlignment="1">
      <alignment horizontal="left" vertical="top" wrapText="1"/>
    </xf>
    <xf numFmtId="0" fontId="9" fillId="0" borderId="1" xfId="0" applyFont="1" applyBorder="1"/>
    <xf numFmtId="0" fontId="10" fillId="15" borderId="1" xfId="0" applyFont="1" applyFill="1" applyBorder="1" applyAlignment="1">
      <alignment horizontal="center" vertical="center" wrapText="1"/>
    </xf>
    <xf numFmtId="0" fontId="17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6" fillId="16" borderId="1" xfId="0" applyFont="1" applyFill="1" applyBorder="1" applyAlignment="1">
      <alignment wrapText="1"/>
    </xf>
    <xf numFmtId="0" fontId="6" fillId="17" borderId="1" xfId="0" applyFont="1" applyFill="1" applyBorder="1" applyAlignment="1">
      <alignment wrapText="1"/>
    </xf>
    <xf numFmtId="0" fontId="6" fillId="4" borderId="1" xfId="0" applyFont="1" applyFill="1" applyBorder="1" applyAlignment="1">
      <alignment wrapText="1"/>
    </xf>
    <xf numFmtId="0" fontId="5" fillId="16" borderId="1" xfId="0" applyFont="1" applyFill="1" applyBorder="1" applyAlignment="1">
      <alignment wrapText="1"/>
    </xf>
    <xf numFmtId="0" fontId="20" fillId="19" borderId="0" xfId="0" applyFont="1" applyFill="1"/>
    <xf numFmtId="0" fontId="21" fillId="20" borderId="0" xfId="0" applyFont="1" applyFill="1" applyAlignment="1">
      <alignment horizontal="center"/>
    </xf>
    <xf numFmtId="0" fontId="21" fillId="23" borderId="0" xfId="0" applyFont="1" applyFill="1" applyAlignment="1">
      <alignment horizontal="center"/>
    </xf>
    <xf numFmtId="0" fontId="21" fillId="24" borderId="0" xfId="0" applyFont="1" applyFill="1" applyAlignment="1">
      <alignment horizontal="center"/>
    </xf>
    <xf numFmtId="0" fontId="19" fillId="0" borderId="0" xfId="0" applyFont="1"/>
    <xf numFmtId="0" fontId="0" fillId="0" borderId="0" xfId="0" applyAlignment="1">
      <alignment wrapText="1"/>
    </xf>
    <xf numFmtId="0" fontId="20" fillId="19" borderId="5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166" fontId="0" fillId="0" borderId="6" xfId="0" applyNumberFormat="1" applyBorder="1" applyAlignment="1">
      <alignment wrapText="1"/>
    </xf>
    <xf numFmtId="164" fontId="0" fillId="0" borderId="6" xfId="0" applyNumberFormat="1" applyBorder="1" applyAlignment="1">
      <alignment wrapText="1"/>
    </xf>
    <xf numFmtId="0" fontId="0" fillId="0" borderId="6" xfId="0" applyBorder="1"/>
    <xf numFmtId="0" fontId="22" fillId="0" borderId="0" xfId="0" applyFont="1"/>
    <xf numFmtId="0" fontId="0" fillId="0" borderId="6" xfId="0" applyBorder="1" applyAlignment="1">
      <alignment vertical="top" wrapText="1"/>
    </xf>
    <xf numFmtId="0" fontId="19" fillId="25" borderId="0" xfId="0" applyFont="1" applyFill="1"/>
    <xf numFmtId="0" fontId="20" fillId="22" borderId="0" xfId="0" applyFont="1" applyFill="1"/>
    <xf numFmtId="0" fontId="0" fillId="0" borderId="0" xfId="0"/>
    <xf numFmtId="0" fontId="0" fillId="0" borderId="6" xfId="0" applyBorder="1"/>
    <xf numFmtId="0" fontId="0" fillId="0" borderId="7" xfId="0" applyBorder="1"/>
    <xf numFmtId="0" fontId="18" fillId="18" borderId="4" xfId="0" applyFont="1" applyFill="1" applyBorder="1" applyAlignment="1">
      <alignment horizontal="left" vertical="center"/>
    </xf>
    <xf numFmtId="0" fontId="0" fillId="0" borderId="9" xfId="0" applyBorder="1"/>
    <xf numFmtId="0" fontId="0" fillId="0" borderId="0" xfId="0" applyAlignment="1">
      <alignment wrapText="1"/>
    </xf>
    <xf numFmtId="0" fontId="0" fillId="0" borderId="8" xfId="0" applyBorder="1"/>
    <xf numFmtId="0" fontId="0" fillId="0" borderId="10" xfId="0" applyBorder="1"/>
    <xf numFmtId="0" fontId="20" fillId="21" borderId="0" xfId="0" applyFont="1" applyFill="1"/>
    <xf numFmtId="0" fontId="1" fillId="2" borderId="0" xfId="0" applyFont="1" applyFill="1" applyAlignment="1">
      <alignment horizontal="center" vertical="center"/>
    </xf>
    <xf numFmtId="0" fontId="7" fillId="7" borderId="0" xfId="0" applyFont="1" applyFill="1" applyAlignment="1">
      <alignment wrapText="1"/>
    </xf>
    <xf numFmtId="0" fontId="6" fillId="10" borderId="1" xfId="0" applyFont="1" applyFill="1" applyBorder="1" applyAlignment="1">
      <alignment vertical="top" wrapText="1"/>
    </xf>
    <xf numFmtId="0" fontId="0" fillId="0" borderId="1" xfId="0" applyBorder="1"/>
    <xf numFmtId="0" fontId="5" fillId="0" borderId="1" xfId="0" applyFont="1" applyBorder="1" applyAlignment="1">
      <alignment vertical="top" wrapText="1"/>
    </xf>
    <xf numFmtId="0" fontId="5" fillId="8" borderId="0" xfId="0" applyFont="1" applyFill="1" applyAlignment="1">
      <alignment wrapText="1"/>
    </xf>
    <xf numFmtId="0" fontId="8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/>
    </xf>
    <xf numFmtId="0" fontId="13" fillId="2" borderId="1" xfId="0" applyFont="1" applyFill="1" applyBorder="1" applyAlignment="1">
      <alignment horizont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Scores!$B$55:$B$68</c:f>
              <c:strCache>
                <c:ptCount val="14"/>
                <c:pt idx="0">
                  <c:v>货币政策与流动性</c:v>
                </c:pt>
                <c:pt idx="1">
                  <c:v>增长与前瞻</c:v>
                </c:pt>
                <c:pt idx="2">
                  <c:v>通胀与价格压力</c:v>
                </c:pt>
                <c:pt idx="3">
                  <c:v>就业与居民部门</c:v>
                </c:pt>
                <c:pt idx="4">
                  <c:v>企业盈利与信用</c:v>
                </c:pt>
                <c:pt idx="5">
                  <c:v>房地产与利率敏感部门</c:v>
                </c:pt>
                <c:pt idx="6">
                  <c:v>风险偏好与跨资产波动</c:v>
                </c:pt>
                <c:pt idx="7">
                  <c:v>外部部门与美元条件</c:v>
                </c:pt>
                <c:pt idx="8">
                  <c:v>财政政策与债务约束</c:v>
                </c:pt>
                <c:pt idx="9">
                  <c:v>金融条件与信用传导</c:v>
                </c:pt>
                <c:pt idx="10">
                  <c:v>大宗商品与能源/地缘风险</c:v>
                </c:pt>
                <c:pt idx="11">
                  <c:v>信心与不确定性</c:v>
                </c:pt>
                <c:pt idx="12">
                  <c:v>AI资本开支周期（主题）</c:v>
                </c:pt>
                <c:pt idx="13">
                  <c:v>加密与稳定币流动性（主题）</c:v>
                </c:pt>
              </c:strCache>
            </c:strRef>
          </c:cat>
          <c:val>
            <c:numRef>
              <c:f>Scores!$D$55:$D$68</c:f>
              <c:numCache>
                <c:formatCode>General</c:formatCode>
                <c:ptCount val="14"/>
                <c:pt idx="0">
                  <c:v>59.998049450549452</c:v>
                </c:pt>
                <c:pt idx="1">
                  <c:v>86.295887445887445</c:v>
                </c:pt>
                <c:pt idx="2">
                  <c:v>98.25</c:v>
                </c:pt>
                <c:pt idx="3">
                  <c:v>85.589285714285722</c:v>
                </c:pt>
                <c:pt idx="4">
                  <c:v>55.749267399267396</c:v>
                </c:pt>
                <c:pt idx="5">
                  <c:v>42.319696969696963</c:v>
                </c:pt>
                <c:pt idx="6">
                  <c:v>87.280636363636361</c:v>
                </c:pt>
                <c:pt idx="7">
                  <c:v>91.179999999999993</c:v>
                </c:pt>
                <c:pt idx="8">
                  <c:v>48.544117647058826</c:v>
                </c:pt>
                <c:pt idx="9">
                  <c:v>80.8</c:v>
                </c:pt>
                <c:pt idx="10">
                  <c:v>93.823529411764696</c:v>
                </c:pt>
                <c:pt idx="11">
                  <c:v>61.945454545454545</c:v>
                </c:pt>
                <c:pt idx="12">
                  <c:v>92.857142857142861</c:v>
                </c:pt>
                <c:pt idx="13">
                  <c:v>51.496782608695653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45-874C-94F0-A39936D86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Scores!$B$55:$B$68</c:f>
              <c:strCache>
                <c:ptCount val="14"/>
                <c:pt idx="0">
                  <c:v>货币政策与流动性</c:v>
                </c:pt>
                <c:pt idx="1">
                  <c:v>增长与前瞻</c:v>
                </c:pt>
                <c:pt idx="2">
                  <c:v>通胀与价格压力</c:v>
                </c:pt>
                <c:pt idx="3">
                  <c:v>就业与居民部门</c:v>
                </c:pt>
                <c:pt idx="4">
                  <c:v>企业盈利与信用</c:v>
                </c:pt>
                <c:pt idx="5">
                  <c:v>房地产与利率敏感部门</c:v>
                </c:pt>
                <c:pt idx="6">
                  <c:v>风险偏好与跨资产波动</c:v>
                </c:pt>
                <c:pt idx="7">
                  <c:v>外部部门与美元条件</c:v>
                </c:pt>
                <c:pt idx="8">
                  <c:v>财政政策与债务约束</c:v>
                </c:pt>
                <c:pt idx="9">
                  <c:v>金融条件与信用传导</c:v>
                </c:pt>
                <c:pt idx="10">
                  <c:v>大宗商品与能源/地缘风险</c:v>
                </c:pt>
                <c:pt idx="11">
                  <c:v>信心与不确定性</c:v>
                </c:pt>
                <c:pt idx="12">
                  <c:v>AI资本开支周期（主题）</c:v>
                </c:pt>
                <c:pt idx="13">
                  <c:v>加密与稳定币流动性（主题）</c:v>
                </c:pt>
              </c:strCache>
            </c:strRef>
          </c:cat>
          <c:val>
            <c:numRef>
              <c:f>Scores!$E$55:$E$68</c:f>
              <c:numCache>
                <c:formatCode>General</c:formatCode>
                <c:ptCount val="14"/>
                <c:pt idx="0">
                  <c:v>7.1997659340659341</c:v>
                </c:pt>
                <c:pt idx="1">
                  <c:v>9.4925476190476186</c:v>
                </c:pt>
                <c:pt idx="2">
                  <c:v>9.8249999999999993</c:v>
                </c:pt>
                <c:pt idx="3">
                  <c:v>8.5589285714285719</c:v>
                </c:pt>
                <c:pt idx="4">
                  <c:v>4.4599413919413919</c:v>
                </c:pt>
                <c:pt idx="5">
                  <c:v>2.539181818181818</c:v>
                </c:pt>
                <c:pt idx="6">
                  <c:v>5.2368381818181824</c:v>
                </c:pt>
                <c:pt idx="7">
                  <c:v>6.3826000000000001</c:v>
                </c:pt>
                <c:pt idx="8">
                  <c:v>3.8835294117647061</c:v>
                </c:pt>
                <c:pt idx="9">
                  <c:v>4.8479999999999999</c:v>
                </c:pt>
                <c:pt idx="10">
                  <c:v>4.6911764705882346</c:v>
                </c:pt>
                <c:pt idx="11">
                  <c:v>3.7167272727272729</c:v>
                </c:pt>
                <c:pt idx="12">
                  <c:v>3.7142857142857144</c:v>
                </c:pt>
                <c:pt idx="13">
                  <c:v>0.51496782608695657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524E-980B-722E14C4BD71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28</xdr:row>
      <xdr:rowOff>0</xdr:rowOff>
    </xdr:from>
    <xdr:ext cx="39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28</xdr:row>
      <xdr:rowOff>0</xdr:rowOff>
    </xdr:from>
    <xdr:ext cx="288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ourceMap" displayName="SourceMap" ref="A5:J50">
  <autoFilter ref="A5:J50" xr:uid="{00000000-0009-0000-0100-000001000000}"/>
  <tableColumns count="10">
    <tableColumn id="1" xr3:uid="{00000000-0010-0000-0000-000001000000}" name="IndicatorCode"/>
    <tableColumn id="2" xr3:uid="{00000000-0010-0000-0000-000002000000}" name="DimensionID"/>
    <tableColumn id="3" xr3:uid="{00000000-0010-0000-0000-000003000000}" name="IndicatorName"/>
    <tableColumn id="4" xr3:uid="{00000000-0010-0000-0000-000004000000}" name="主数据源"/>
    <tableColumn id="5" xr3:uid="{00000000-0010-0000-0000-000005000000}" name="建议系列代码/字段"/>
    <tableColumn id="6" xr3:uid="{00000000-0010-0000-0000-000006000000}" name="备选源"/>
    <tableColumn id="7" xr3:uid="{00000000-0010-0000-0000-000007000000}" name="更新频率"/>
    <tableColumn id="8" xr3:uid="{00000000-0010-0000-0000-000008000000}" name="单位"/>
    <tableColumn id="9" xr3:uid="{00000000-0010-0000-0000-000009000000}" name="抓取说明"/>
    <tableColumn id="10" xr3:uid="{00000000-0010-0000-0000-00000A000000}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piMap" displayName="ApiMap" ref="A3:H14">
  <autoFilter ref="A3:H14" xr:uid="{00000000-0009-0000-0100-000002000000}"/>
  <tableColumns count="8">
    <tableColumn id="1" xr3:uid="{00000000-0010-0000-0100-000001000000}" name="Source"/>
    <tableColumn id="2" xr3:uid="{00000000-0010-0000-0100-000002000000}" name="典型指标"/>
    <tableColumn id="3" xr3:uid="{00000000-0010-0000-0100-000003000000}" name="建议代码/端点"/>
    <tableColumn id="4" xr3:uid="{00000000-0010-0000-0100-000004000000}" name="官网/入口"/>
    <tableColumn id="5" xr3:uid="{00000000-0010-0000-0100-000005000000}" name="更新时间"/>
    <tableColumn id="6" xr3:uid="{00000000-0010-0000-0100-000006000000}" name="单位规范"/>
    <tableColumn id="7" xr3:uid="{00000000-0010-0000-0100-000007000000}" name="优先级"/>
    <tableColumn id="8" xr3:uid="{00000000-0010-0000-0100-000008000000}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"/>
  <sheetViews>
    <sheetView tabSelected="1" workbookViewId="0">
      <selection activeCell="W19" sqref="W19"/>
    </sheetView>
  </sheetViews>
  <sheetFormatPr baseColWidth="10" defaultColWidth="8.83203125" defaultRowHeight="13"/>
  <cols>
    <col min="1" max="1" width="22" customWidth="1"/>
    <col min="2" max="5" width="14" customWidth="1"/>
    <col min="6" max="6" width="20" customWidth="1"/>
    <col min="7" max="12" width="14" customWidth="1"/>
  </cols>
  <sheetData>
    <row r="1" spans="1:12" ht="24" customHeight="1">
      <c r="A1" s="65" t="s">
        <v>575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</row>
    <row r="2" spans="1:12" ht="22" customHeight="1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</row>
    <row r="3" spans="1:12" ht="22" customHeight="1"/>
    <row r="4" spans="1:12" ht="22" customHeight="1">
      <c r="A4" s="47" t="s">
        <v>0</v>
      </c>
      <c r="B4" s="48" t="str">
        <f>Inputs!B2</f>
        <v>2026-03-01</v>
      </c>
      <c r="D4" s="47" t="s">
        <v>1</v>
      </c>
      <c r="E4" s="48">
        <f>Scores!D70</f>
        <v>75.063490211936397</v>
      </c>
      <c r="G4" s="47" t="s">
        <v>2</v>
      </c>
      <c r="H4" s="49" t="str">
        <f>Scores!F70</f>
        <v>扩张偏热</v>
      </c>
      <c r="J4" s="47" t="s">
        <v>3</v>
      </c>
      <c r="K4" s="50">
        <f>COUNTIF(Alerts!E6:E12,"YES")</f>
        <v>0</v>
      </c>
    </row>
    <row r="5" spans="1:12" ht="22" customHeight="1"/>
    <row r="6" spans="1:12" ht="24" customHeight="1">
      <c r="A6" s="65" t="s">
        <v>4</v>
      </c>
      <c r="B6" s="66"/>
      <c r="C6" s="66"/>
      <c r="D6" s="66"/>
      <c r="E6" s="66"/>
      <c r="F6" s="66"/>
      <c r="G6" s="66"/>
      <c r="H6" s="66"/>
      <c r="I6" s="66"/>
      <c r="J6" s="66"/>
      <c r="K6" s="66"/>
      <c r="L6" s="66"/>
    </row>
    <row r="7" spans="1:12" ht="22" customHeight="1">
      <c r="A7" s="51" t="s">
        <v>5</v>
      </c>
      <c r="B7" s="67" t="s">
        <v>6</v>
      </c>
      <c r="C7" s="62"/>
      <c r="D7" s="62"/>
      <c r="E7" s="62"/>
      <c r="F7" s="62"/>
      <c r="G7" s="62"/>
      <c r="H7" s="62"/>
      <c r="I7" s="62"/>
      <c r="J7" s="62"/>
      <c r="K7" s="62"/>
      <c r="L7" s="62"/>
    </row>
    <row r="8" spans="1:12" ht="22" customHeight="1">
      <c r="A8" s="51" t="s">
        <v>7</v>
      </c>
      <c r="B8" s="67" t="s">
        <v>8</v>
      </c>
      <c r="C8" s="62"/>
      <c r="D8" s="62"/>
      <c r="E8" s="62"/>
      <c r="F8" s="62"/>
      <c r="G8" s="62"/>
      <c r="H8" s="62"/>
      <c r="I8" s="62"/>
      <c r="J8" s="62"/>
      <c r="K8" s="62"/>
      <c r="L8" s="62"/>
    </row>
    <row r="9" spans="1:12" ht="22" customHeight="1">
      <c r="A9" s="51" t="s">
        <v>9</v>
      </c>
      <c r="B9" s="67" t="s">
        <v>10</v>
      </c>
      <c r="C9" s="62"/>
      <c r="D9" s="62"/>
      <c r="E9" s="62"/>
      <c r="F9" s="62"/>
      <c r="G9" s="62"/>
      <c r="H9" s="62"/>
      <c r="I9" s="62"/>
      <c r="J9" s="62"/>
      <c r="K9" s="62"/>
      <c r="L9" s="62"/>
    </row>
    <row r="10" spans="1:12" ht="22" customHeight="1"/>
    <row r="11" spans="1:12" ht="22" customHeight="1"/>
    <row r="12" spans="1:12" ht="24" customHeight="1">
      <c r="A12" s="53" t="s">
        <v>11</v>
      </c>
      <c r="B12" s="53" t="s">
        <v>12</v>
      </c>
      <c r="C12" s="53" t="s">
        <v>13</v>
      </c>
      <c r="D12" s="53" t="s">
        <v>14</v>
      </c>
      <c r="E12" s="53" t="s">
        <v>15</v>
      </c>
      <c r="F12" s="53" t="s">
        <v>16</v>
      </c>
      <c r="H12" s="65" t="s">
        <v>17</v>
      </c>
      <c r="I12" s="66"/>
      <c r="J12" s="66"/>
      <c r="K12" s="66"/>
      <c r="L12" s="66"/>
    </row>
    <row r="13" spans="1:12" ht="22" customHeight="1">
      <c r="A13" s="54" t="str">
        <f>Scores!B55</f>
        <v>货币政策与流动性</v>
      </c>
      <c r="B13" s="55">
        <f>Scores!C55/100</f>
        <v>0.12</v>
      </c>
      <c r="C13" s="56">
        <f>Scores!D55</f>
        <v>59.998049450549452</v>
      </c>
      <c r="D13" s="56">
        <f>Scores!E55</f>
        <v>7.1997659340659341</v>
      </c>
      <c r="E13" s="54" t="e">
        <f>INDEX(Dimensions!$C$2:$C$15,MATCH(INDEX(Scores!$A$55:$A$68,ROW()-12),Dimensions!$B$2:$B$15,0))</f>
        <v>#N/A</v>
      </c>
      <c r="F13" s="54" t="e">
        <f>INDEX(Dimensions!$F$2:$F$15,MATCH(INDEX(Scores!$A$55:$A$68,ROW()-12),Dimensions!$B$2:$B$15,0))</f>
        <v>#N/A</v>
      </c>
      <c r="H13" s="70" t="s">
        <v>18</v>
      </c>
      <c r="I13" s="62"/>
      <c r="J13" s="70" t="s">
        <v>19</v>
      </c>
      <c r="K13" s="62"/>
    </row>
    <row r="14" spans="1:12" ht="22" customHeight="1">
      <c r="A14" s="54" t="str">
        <f>Scores!B56</f>
        <v>增长与前瞻</v>
      </c>
      <c r="B14" s="55">
        <f>Scores!C56/100</f>
        <v>0.11</v>
      </c>
      <c r="C14" s="56">
        <f>Scores!D56</f>
        <v>86.295887445887445</v>
      </c>
      <c r="D14" s="56">
        <f>Scores!E56</f>
        <v>9.4925476190476186</v>
      </c>
      <c r="E14" s="54" t="e">
        <f>INDEX(Dimensions!$C$2:$C$15,MATCH(INDEX(Scores!$A$55:$A$68,ROW()-12),Dimensions!$B$2:$B$15,0))</f>
        <v>#N/A</v>
      </c>
      <c r="F14" s="54" t="e">
        <f>INDEX(Dimensions!$F$2:$F$15,MATCH(INDEX(Scores!$A$55:$A$68,ROW()-12),Dimensions!$B$2:$B$15,0))</f>
        <v>#N/A</v>
      </c>
      <c r="H14" s="57" t="str">
        <f>INDEX($A$13:$A$26,MATCH(LARGE($D$13:$D$26,1),$D$13:$D$26,0))</f>
        <v>通胀与价格压力</v>
      </c>
      <c r="I14" s="57">
        <f>INDEX($D$13:$D$26,MATCH($H14,$A$13:$A$26,0))</f>
        <v>9.8249999999999993</v>
      </c>
      <c r="J14" s="57" t="str">
        <f>INDEX($A$13:$A$26,MATCH(SMALL($D$13:$D$26,1),$D$13:$D$26,0))</f>
        <v>加密与稳定币流动性（主题）</v>
      </c>
      <c r="K14" s="57">
        <f>INDEX($D$13:$D$26,MATCH($J14,$A$13:$A$26,0))</f>
        <v>0.51496782608695657</v>
      </c>
    </row>
    <row r="15" spans="1:12" ht="22" customHeight="1">
      <c r="A15" s="54" t="str">
        <f>Scores!B57</f>
        <v>通胀与价格压力</v>
      </c>
      <c r="B15" s="55">
        <f>Scores!C57/100</f>
        <v>0.1</v>
      </c>
      <c r="C15" s="56">
        <f>Scores!D57</f>
        <v>98.25</v>
      </c>
      <c r="D15" s="56">
        <f>Scores!E57</f>
        <v>9.8249999999999993</v>
      </c>
      <c r="E15" s="54" t="e">
        <f>INDEX(Dimensions!$C$2:$C$15,MATCH(INDEX(Scores!$A$55:$A$68,ROW()-12),Dimensions!$B$2:$B$15,0))</f>
        <v>#N/A</v>
      </c>
      <c r="F15" s="54" t="e">
        <f>INDEX(Dimensions!$F$2:$F$15,MATCH(INDEX(Scores!$A$55:$A$68,ROW()-12),Dimensions!$B$2:$B$15,0))</f>
        <v>#N/A</v>
      </c>
      <c r="H15" s="57" t="str">
        <f>INDEX($A$13:$A$26,MATCH(LARGE($D$13:$D$26,2),$D$13:$D$26,0))</f>
        <v>增长与前瞻</v>
      </c>
      <c r="I15" s="57">
        <f>INDEX($D$13:$D$26,MATCH($H15,$A$13:$A$26,0))</f>
        <v>9.4925476190476186</v>
      </c>
      <c r="J15" s="57" t="str">
        <f>INDEX($A$13:$A$26,MATCH(SMALL($D$13:$D$26,2),$D$13:$D$26,0))</f>
        <v>房地产与利率敏感部门</v>
      </c>
      <c r="K15" s="57">
        <f>INDEX($D$13:$D$26,MATCH($J15,$A$13:$A$26,0))</f>
        <v>2.539181818181818</v>
      </c>
    </row>
    <row r="16" spans="1:12" ht="22" customHeight="1">
      <c r="A16" s="54" t="str">
        <f>Scores!B58</f>
        <v>就业与居民部门</v>
      </c>
      <c r="B16" s="55">
        <f>Scores!C58/100</f>
        <v>0.1</v>
      </c>
      <c r="C16" s="56">
        <f>Scores!D58</f>
        <v>85.589285714285722</v>
      </c>
      <c r="D16" s="56">
        <f>Scores!E58</f>
        <v>8.5589285714285719</v>
      </c>
      <c r="E16" s="54" t="e">
        <f>INDEX(Dimensions!$C$2:$C$15,MATCH(INDEX(Scores!$A$55:$A$68,ROW()-12),Dimensions!$B$2:$B$15,0))</f>
        <v>#N/A</v>
      </c>
      <c r="F16" s="54" t="e">
        <f>INDEX(Dimensions!$F$2:$F$15,MATCH(INDEX(Scores!$A$55:$A$68,ROW()-12),Dimensions!$B$2:$B$15,0))</f>
        <v>#N/A</v>
      </c>
      <c r="H16" s="57" t="str">
        <f>INDEX($A$13:$A$26,MATCH(LARGE($D$13:$D$26,3),$D$13:$D$26,0))</f>
        <v>就业与居民部门</v>
      </c>
      <c r="I16" s="57">
        <f>INDEX($D$13:$D$26,MATCH($H16,$A$13:$A$26,0))</f>
        <v>8.5589285714285719</v>
      </c>
      <c r="J16" s="57" t="str">
        <f>INDEX($A$13:$A$26,MATCH(SMALL($D$13:$D$26,3),$D$13:$D$26,0))</f>
        <v>AI资本开支周期（主题）</v>
      </c>
      <c r="K16" s="57">
        <f>INDEX($D$13:$D$26,MATCH($J16,$A$13:$A$26,0))</f>
        <v>3.7142857142857144</v>
      </c>
    </row>
    <row r="17" spans="1:12" ht="22" customHeight="1">
      <c r="A17" s="54" t="str">
        <f>Scores!B59</f>
        <v>企业盈利与信用</v>
      </c>
      <c r="B17" s="55">
        <f>Scores!C59/100</f>
        <v>0.08</v>
      </c>
      <c r="C17" s="56">
        <f>Scores!D59</f>
        <v>55.749267399267396</v>
      </c>
      <c r="D17" s="56">
        <f>Scores!E59</f>
        <v>4.4599413919413919</v>
      </c>
      <c r="E17" s="54" t="e">
        <f>INDEX(Dimensions!$C$2:$C$15,MATCH(INDEX(Scores!$A$55:$A$68,ROW()-12),Dimensions!$B$2:$B$15,0))</f>
        <v>#N/A</v>
      </c>
      <c r="F17" s="54" t="e">
        <f>INDEX(Dimensions!$F$2:$F$15,MATCH(INDEX(Scores!$A$55:$A$68,ROW()-12),Dimensions!$B$2:$B$15,0))</f>
        <v>#N/A</v>
      </c>
    </row>
    <row r="18" spans="1:12" ht="22" customHeight="1">
      <c r="A18" s="54" t="str">
        <f>Scores!B60</f>
        <v>房地产与利率敏感部门</v>
      </c>
      <c r="B18" s="55">
        <f>Scores!C60/100</f>
        <v>0.06</v>
      </c>
      <c r="C18" s="56">
        <f>Scores!D60</f>
        <v>42.319696969696963</v>
      </c>
      <c r="D18" s="56">
        <f>Scores!E60</f>
        <v>2.539181818181818</v>
      </c>
      <c r="E18" s="54" t="e">
        <f>INDEX(Dimensions!$C$2:$C$15,MATCH(INDEX(Scores!$A$55:$A$68,ROW()-12),Dimensions!$B$2:$B$15,0))</f>
        <v>#N/A</v>
      </c>
      <c r="F18" s="54" t="e">
        <f>INDEX(Dimensions!$F$2:$F$15,MATCH(INDEX(Scores!$A$55:$A$68,ROW()-12),Dimensions!$B$2:$B$15,0))</f>
        <v>#N/A</v>
      </c>
      <c r="H18" s="61" t="s">
        <v>20</v>
      </c>
      <c r="I18" s="62"/>
      <c r="J18" s="62"/>
      <c r="K18" s="62"/>
    </row>
    <row r="19" spans="1:12" ht="22" customHeight="1">
      <c r="A19" s="54" t="str">
        <f>Scores!B61</f>
        <v>风险偏好与跨资产波动</v>
      </c>
      <c r="B19" s="55">
        <f>Scores!C61/100</f>
        <v>0.06</v>
      </c>
      <c r="C19" s="56">
        <f>Scores!D61</f>
        <v>87.280636363636361</v>
      </c>
      <c r="D19" s="56">
        <f>Scores!E61</f>
        <v>5.2368381818181824</v>
      </c>
      <c r="E19" s="54" t="e">
        <f>INDEX(Dimensions!$C$2:$C$15,MATCH(INDEX(Scores!$A$55:$A$68,ROW()-12),Dimensions!$B$2:$B$15,0))</f>
        <v>#N/A</v>
      </c>
      <c r="F19" s="54" t="e">
        <f>INDEX(Dimensions!$F$2:$F$15,MATCH(INDEX(Scores!$A$55:$A$68,ROW()-12),Dimensions!$B$2:$B$15,0))</f>
        <v>#N/A</v>
      </c>
      <c r="H19" s="63" t="str">
        <f>Alerts!C6</f>
        <v>VIX &gt; 30</v>
      </c>
      <c r="I19" s="64"/>
      <c r="J19" s="64"/>
      <c r="K19" s="57" t="str">
        <f>Alerts!E6</f>
        <v>NO</v>
      </c>
      <c r="L19" s="58" t="s">
        <v>21</v>
      </c>
    </row>
    <row r="20" spans="1:12" ht="22" customHeight="1">
      <c r="A20" s="54" t="str">
        <f>Scores!B62</f>
        <v>外部部门与美元条件</v>
      </c>
      <c r="B20" s="55">
        <f>Scores!C62/100</f>
        <v>7.0000000000000007E-2</v>
      </c>
      <c r="C20" s="56">
        <f>Scores!D62</f>
        <v>91.179999999999993</v>
      </c>
      <c r="D20" s="56">
        <f>Scores!E62</f>
        <v>6.3826000000000001</v>
      </c>
      <c r="E20" s="54" t="e">
        <f>INDEX(Dimensions!$C$2:$C$15,MATCH(INDEX(Scores!$A$55:$A$68,ROW()-12),Dimensions!$B$2:$B$15,0))</f>
        <v>#N/A</v>
      </c>
      <c r="F20" s="54" t="e">
        <f>INDEX(Dimensions!$F$2:$F$15,MATCH(INDEX(Scores!$A$55:$A$68,ROW()-12),Dimensions!$B$2:$B$15,0))</f>
        <v>#N/A</v>
      </c>
      <c r="H20" s="63" t="str">
        <f>Alerts!C7</f>
        <v>MOVE &gt; 140</v>
      </c>
      <c r="I20" s="64"/>
      <c r="J20" s="64"/>
      <c r="K20" s="57" t="str">
        <f>Alerts!E7</f>
        <v>NO</v>
      </c>
    </row>
    <row r="21" spans="1:12" ht="22" customHeight="1">
      <c r="A21" s="54" t="str">
        <f>Scores!B63</f>
        <v>财政政策与债务约束</v>
      </c>
      <c r="B21" s="55">
        <f>Scores!C63/100</f>
        <v>0.08</v>
      </c>
      <c r="C21" s="56">
        <f>Scores!D63</f>
        <v>48.544117647058826</v>
      </c>
      <c r="D21" s="56">
        <f>Scores!E63</f>
        <v>3.8835294117647061</v>
      </c>
      <c r="E21" s="54" t="e">
        <f>INDEX(Dimensions!$C$2:$C$15,MATCH(INDEX(Scores!$A$55:$A$68,ROW()-12),Dimensions!$B$2:$B$15,0))</f>
        <v>#N/A</v>
      </c>
      <c r="F21" s="54" t="e">
        <f>INDEX(Dimensions!$F$2:$F$15,MATCH(INDEX(Scores!$A$55:$A$68,ROW()-12),Dimensions!$B$2:$B$15,0))</f>
        <v>#N/A</v>
      </c>
      <c r="H21" s="63" t="str">
        <f>Alerts!C8</f>
        <v>HY OAS &gt; 600bps</v>
      </c>
      <c r="I21" s="64"/>
      <c r="J21" s="64"/>
      <c r="K21" s="57" t="str">
        <f>Alerts!E8</f>
        <v>NO</v>
      </c>
    </row>
    <row r="22" spans="1:12" ht="22" customHeight="1">
      <c r="A22" s="54" t="str">
        <f>Scores!B64</f>
        <v>金融条件与信用传导</v>
      </c>
      <c r="B22" s="55">
        <f>Scores!C64/100</f>
        <v>0.06</v>
      </c>
      <c r="C22" s="56">
        <f>Scores!D64</f>
        <v>80.8</v>
      </c>
      <c r="D22" s="56">
        <f>Scores!E64</f>
        <v>4.8479999999999999</v>
      </c>
      <c r="E22" s="54" t="e">
        <f>INDEX(Dimensions!$C$2:$C$15,MATCH(INDEX(Scores!$A$55:$A$68,ROW()-12),Dimensions!$B$2:$B$15,0))</f>
        <v>#N/A</v>
      </c>
      <c r="F22" s="54" t="e">
        <f>INDEX(Dimensions!$F$2:$F$15,MATCH(INDEX(Scores!$A$55:$A$68,ROW()-12),Dimensions!$B$2:$B$15,0))</f>
        <v>#N/A</v>
      </c>
      <c r="H22" s="63" t="str">
        <f>Alerts!C9</f>
        <v>10Y-3M &lt; -50bps</v>
      </c>
      <c r="I22" s="64"/>
      <c r="J22" s="64"/>
      <c r="K22" s="57" t="str">
        <f>Alerts!E9</f>
        <v>NO</v>
      </c>
    </row>
    <row r="23" spans="1:12" ht="22" customHeight="1">
      <c r="A23" s="54" t="str">
        <f>Scores!B65</f>
        <v>大宗商品与能源/地缘风险</v>
      </c>
      <c r="B23" s="55">
        <f>Scores!C65/100</f>
        <v>0.05</v>
      </c>
      <c r="C23" s="56">
        <f>Scores!D65</f>
        <v>93.823529411764696</v>
      </c>
      <c r="D23" s="56">
        <f>Scores!E65</f>
        <v>4.6911764705882346</v>
      </c>
      <c r="E23" s="54" t="e">
        <f>INDEX(Dimensions!$C$2:$C$15,MATCH(INDEX(Scores!$A$55:$A$68,ROW()-12),Dimensions!$B$2:$B$15,0))</f>
        <v>#N/A</v>
      </c>
      <c r="F23" s="54" t="e">
        <f>INDEX(Dimensions!$F$2:$F$15,MATCH(INDEX(Scores!$A$55:$A$68,ROW()-12),Dimensions!$B$2:$B$15,0))</f>
        <v>#N/A</v>
      </c>
      <c r="H23" s="63" t="str">
        <f>Alerts!C10</f>
        <v>失业率 &gt; 6%</v>
      </c>
      <c r="I23" s="64"/>
      <c r="J23" s="64"/>
      <c r="K23" s="57" t="str">
        <f>Alerts!E10</f>
        <v>NO</v>
      </c>
    </row>
    <row r="24" spans="1:12" ht="22" customHeight="1">
      <c r="A24" s="54" t="str">
        <f>Scores!B66</f>
        <v>信心与不确定性</v>
      </c>
      <c r="B24" s="55">
        <f>Scores!C66/100</f>
        <v>0.06</v>
      </c>
      <c r="C24" s="56">
        <f>Scores!D66</f>
        <v>61.945454545454545</v>
      </c>
      <c r="D24" s="56">
        <f>Scores!E66</f>
        <v>3.7167272727272729</v>
      </c>
      <c r="E24" s="54" t="e">
        <f>INDEX(Dimensions!$C$2:$C$15,MATCH(INDEX(Scores!$A$55:$A$68,ROW()-12),Dimensions!$B$2:$B$15,0))</f>
        <v>#N/A</v>
      </c>
      <c r="F24" s="54" t="e">
        <f>INDEX(Dimensions!$F$2:$F$15,MATCH(INDEX(Scores!$A$55:$A$68,ROW()-12),Dimensions!$B$2:$B$15,0))</f>
        <v>#N/A</v>
      </c>
      <c r="H24" s="63" t="str">
        <f>Alerts!C11</f>
        <v>核心PCE &gt; 3.5%</v>
      </c>
      <c r="I24" s="64"/>
      <c r="J24" s="64"/>
      <c r="K24" s="57" t="str">
        <f>Alerts!E11</f>
        <v>NO</v>
      </c>
    </row>
    <row r="25" spans="1:12" ht="22" customHeight="1">
      <c r="A25" s="54" t="str">
        <f>Scores!B67</f>
        <v>AI资本开支周期（主题）</v>
      </c>
      <c r="B25" s="55">
        <f>Scores!C67/100</f>
        <v>0.04</v>
      </c>
      <c r="C25" s="56">
        <f>Scores!D67</f>
        <v>92.857142857142861</v>
      </c>
      <c r="D25" s="56">
        <f>Scores!E67</f>
        <v>3.7142857142857144</v>
      </c>
      <c r="E25" s="54" t="e">
        <f>INDEX(Dimensions!$C$2:$C$15,MATCH(INDEX(Scores!$A$55:$A$68,ROW()-12),Dimensions!$B$2:$B$15,0))</f>
        <v>#N/A</v>
      </c>
      <c r="F25" s="54" t="e">
        <f>INDEX(Dimensions!$F$2:$F$15,MATCH(INDEX(Scores!$A$55:$A$68,ROW()-12),Dimensions!$B$2:$B$15,0))</f>
        <v>#N/A</v>
      </c>
      <c r="H25" s="63" t="str">
        <f>Alerts!C12</f>
        <v>WTI &gt; $100</v>
      </c>
      <c r="I25" s="64"/>
      <c r="J25" s="64"/>
      <c r="K25" s="57" t="str">
        <f>Alerts!E12</f>
        <v>NO</v>
      </c>
    </row>
    <row r="26" spans="1:12" ht="22" customHeight="1">
      <c r="A26" s="54" t="str">
        <f>Scores!B68</f>
        <v>加密与稳定币流动性（主题）</v>
      </c>
      <c r="B26" s="55">
        <f>Scores!C68/100</f>
        <v>0.01</v>
      </c>
      <c r="C26" s="56">
        <f>Scores!D68</f>
        <v>51.496782608695653</v>
      </c>
      <c r="D26" s="56">
        <f>Scores!E68</f>
        <v>0.51496782608695657</v>
      </c>
      <c r="E26" s="54" t="e">
        <f>INDEX(Dimensions!$C$2:$C$15,MATCH(INDEX(Scores!$A$55:$A$68,ROW()-12),Dimensions!$B$2:$B$15,0))</f>
        <v>#N/A</v>
      </c>
      <c r="F26" s="54" t="e">
        <f>INDEX(Dimensions!$F$2:$F$15,MATCH(INDEX(Scores!$A$55:$A$68,ROW()-12),Dimensions!$B$2:$B$15,0))</f>
        <v>#N/A</v>
      </c>
    </row>
    <row r="27" spans="1:12" ht="22" customHeight="1"/>
    <row r="28" spans="1:12" ht="22" customHeight="1"/>
    <row r="29" spans="1:12" ht="22" customHeight="1"/>
    <row r="30" spans="1:12" ht="22" customHeight="1"/>
    <row r="31" spans="1:12" ht="22" customHeight="1"/>
    <row r="32" spans="1:1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</sheetData>
  <mergeCells count="16">
    <mergeCell ref="H25:J25"/>
    <mergeCell ref="B9:L9"/>
    <mergeCell ref="B8:L8"/>
    <mergeCell ref="B7:L7"/>
    <mergeCell ref="H19:J19"/>
    <mergeCell ref="H23:J23"/>
    <mergeCell ref="A1:L2"/>
    <mergeCell ref="A6:L6"/>
    <mergeCell ref="H21:J21"/>
    <mergeCell ref="J13:K13"/>
    <mergeCell ref="H13:I13"/>
    <mergeCell ref="H18:K18"/>
    <mergeCell ref="H20:J20"/>
    <mergeCell ref="H24:J24"/>
    <mergeCell ref="H12:L12"/>
    <mergeCell ref="H22:J2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min="1" max="4" width="18" customWidth="1"/>
    <col min="5" max="8" width="16" customWidth="1"/>
  </cols>
  <sheetData>
    <row r="1" spans="1:8" ht="15" customHeight="1">
      <c r="A1" s="71" t="s">
        <v>575</v>
      </c>
      <c r="B1" s="62"/>
      <c r="C1" s="62"/>
      <c r="D1" s="62"/>
      <c r="E1" s="62"/>
      <c r="F1" s="62"/>
      <c r="G1" s="62"/>
      <c r="H1" s="62"/>
    </row>
    <row r="2" spans="1:8" ht="15" customHeight="1">
      <c r="A2" s="62"/>
      <c r="B2" s="62"/>
      <c r="C2" s="62"/>
      <c r="D2" s="62"/>
      <c r="E2" s="62"/>
      <c r="F2" s="62"/>
      <c r="G2" s="62"/>
      <c r="H2" s="62"/>
    </row>
    <row r="4" spans="1:8" ht="15" customHeight="1">
      <c r="A4" s="1" t="s">
        <v>22</v>
      </c>
      <c r="B4" s="2" t="str">
        <f>Inputs!B2</f>
        <v>2026-03-01</v>
      </c>
      <c r="D4" s="1" t="s">
        <v>1</v>
      </c>
      <c r="E4" s="2">
        <f>IF(Inputs!B2="","",Scores!D70)</f>
        <v>75.063490211936397</v>
      </c>
      <c r="F4" s="3" t="s">
        <v>23</v>
      </c>
      <c r="G4" s="1" t="s">
        <v>2</v>
      </c>
      <c r="H4" s="2" t="str">
        <f>IF(Inputs!B2="","",Scores!F70)</f>
        <v>扩张偏热</v>
      </c>
    </row>
    <row r="5" spans="1:8" ht="15" customHeight="1">
      <c r="F5" s="4">
        <f>COUNTIF(Alerts!E6:E12,"YES")</f>
        <v>0</v>
      </c>
      <c r="G5" s="5" t="s">
        <v>24</v>
      </c>
    </row>
    <row r="6" spans="1:8" ht="15" customHeight="1">
      <c r="A6" s="6" t="s">
        <v>11</v>
      </c>
      <c r="B6" s="6" t="s">
        <v>12</v>
      </c>
      <c r="C6" s="6" t="s">
        <v>13</v>
      </c>
      <c r="D6" s="6" t="s">
        <v>14</v>
      </c>
      <c r="F6" s="6" t="s">
        <v>25</v>
      </c>
      <c r="G6" s="6" t="s">
        <v>26</v>
      </c>
    </row>
    <row r="7" spans="1:8" ht="63.75" customHeight="1">
      <c r="A7" s="7" t="str">
        <f>Scores!B55</f>
        <v>货币政策与流动性</v>
      </c>
      <c r="B7" s="8">
        <f>Scores!C55/100</f>
        <v>0.12</v>
      </c>
      <c r="C7" s="7">
        <f>Scores!D55</f>
        <v>59.998049450549452</v>
      </c>
      <c r="D7" s="9">
        <f>Scores!E55</f>
        <v>7.1997659340659341</v>
      </c>
      <c r="F7" s="7" t="str">
        <f>Dimensions!C2</f>
        <v>Core Macro</v>
      </c>
      <c r="G7" s="7" t="str">
        <f>Dimensions!E2</f>
        <v>利率曲线、短端资金利率、央行资产负债表与净流动性。</v>
      </c>
    </row>
    <row r="8" spans="1:8" ht="48" customHeight="1">
      <c r="A8" s="7" t="str">
        <f>Scores!B56</f>
        <v>增长与前瞻</v>
      </c>
      <c r="B8" s="8">
        <f>Scores!C56/100</f>
        <v>0.11</v>
      </c>
      <c r="C8" s="7">
        <f>Scores!D56</f>
        <v>86.295887445887445</v>
      </c>
      <c r="D8" s="9">
        <f>Scores!E56</f>
        <v>9.4925476190476186</v>
      </c>
      <c r="F8" s="7" t="str">
        <f>Dimensions!C3</f>
        <v>Core Macro</v>
      </c>
      <c r="G8" s="7" t="str">
        <f>Dimensions!E3</f>
        <v>GDP/PMI/订单/初请等前瞻增长信号。</v>
      </c>
    </row>
    <row r="9" spans="1:8" ht="63.75" customHeight="1">
      <c r="A9" s="7" t="str">
        <f>Scores!B57</f>
        <v>通胀与价格压力</v>
      </c>
      <c r="B9" s="8">
        <f>Scores!C57/100</f>
        <v>0.1</v>
      </c>
      <c r="C9" s="7">
        <f>Scores!D57</f>
        <v>98.25</v>
      </c>
      <c r="D9" s="9">
        <f>Scores!E57</f>
        <v>9.8249999999999993</v>
      </c>
      <c r="F9" s="7" t="str">
        <f>Dimensions!C4</f>
        <v>Core Macro</v>
      </c>
      <c r="G9" s="7" t="str">
        <f>Dimensions!E4</f>
        <v>核心通胀与通胀预期，判断政策约束与利润压力。</v>
      </c>
    </row>
    <row r="10" spans="1:8" ht="32.25" customHeight="1">
      <c r="A10" s="7" t="str">
        <f>Scores!B58</f>
        <v>就业与居民部门</v>
      </c>
      <c r="B10" s="8">
        <f>Scores!C58/100</f>
        <v>0.1</v>
      </c>
      <c r="C10" s="7">
        <f>Scores!D58</f>
        <v>85.589285714285722</v>
      </c>
      <c r="D10" s="9">
        <f>Scores!E58</f>
        <v>8.5589285714285719</v>
      </c>
      <c r="F10" s="7" t="str">
        <f>Dimensions!C5</f>
        <v>Core Macro</v>
      </c>
      <c r="G10" s="7" t="str">
        <f>Dimensions!E5</f>
        <v>就业、收入与居民信用压力。</v>
      </c>
    </row>
    <row r="11" spans="1:8" ht="48" customHeight="1">
      <c r="A11" s="7" t="str">
        <f>Scores!B59</f>
        <v>企业盈利与信用</v>
      </c>
      <c r="B11" s="8">
        <f>Scores!C59/100</f>
        <v>0.08</v>
      </c>
      <c r="C11" s="7">
        <f>Scores!D59</f>
        <v>55.749267399267396</v>
      </c>
      <c r="D11" s="9">
        <f>Scores!E59</f>
        <v>4.4599413919413919</v>
      </c>
      <c r="F11" s="7" t="str">
        <f>Dimensions!C6</f>
        <v>Core Macro</v>
      </c>
      <c r="G11" s="7" t="str">
        <f>Dimensions!E6</f>
        <v>盈利预期修正与信用利差/违约压力。</v>
      </c>
    </row>
    <row r="12" spans="1:8" ht="48" customHeight="1">
      <c r="A12" s="7" t="str">
        <f>Scores!B60</f>
        <v>房地产与利率敏感部门</v>
      </c>
      <c r="B12" s="8">
        <f>Scores!C60/100</f>
        <v>0.06</v>
      </c>
      <c r="C12" s="7">
        <f>Scores!D60</f>
        <v>42.319696969696963</v>
      </c>
      <c r="D12" s="9">
        <f>Scores!E60</f>
        <v>2.539181818181818</v>
      </c>
      <c r="F12" s="7" t="str">
        <f>Dimensions!C7</f>
        <v>Core Macro</v>
      </c>
      <c r="G12" s="7" t="str">
        <f>Dimensions!E7</f>
        <v>按揭利率、成交与开工，反映利率传导。</v>
      </c>
    </row>
    <row r="13" spans="1:8" ht="48" customHeight="1">
      <c r="A13" s="7" t="str">
        <f>Scores!B61</f>
        <v>风险偏好与跨资产波动</v>
      </c>
      <c r="B13" s="8">
        <f>Scores!C61/100</f>
        <v>0.06</v>
      </c>
      <c r="C13" s="7">
        <f>Scores!D61</f>
        <v>87.280636363636361</v>
      </c>
      <c r="D13" s="9">
        <f>Scores!E61</f>
        <v>5.2368381818181824</v>
      </c>
      <c r="F13" s="7" t="str">
        <f>Dimensions!C8</f>
        <v>Market Mapping</v>
      </c>
      <c r="G13" s="7" t="str">
        <f>Dimensions!E8</f>
        <v>VIX/MOVE/信用利差等市场风险映射。</v>
      </c>
    </row>
    <row r="14" spans="1:8" ht="48" customHeight="1">
      <c r="A14" s="7" t="str">
        <f>Scores!B62</f>
        <v>外部部门与美元条件</v>
      </c>
      <c r="B14" s="8">
        <f>Scores!C62/100</f>
        <v>7.0000000000000007E-2</v>
      </c>
      <c r="C14" s="7">
        <f>Scores!D62</f>
        <v>91.179999999999993</v>
      </c>
      <c r="D14" s="9">
        <f>Scores!E62</f>
        <v>6.3826000000000001</v>
      </c>
      <c r="F14" s="7" t="str">
        <f>Dimensions!C9</f>
        <v>Policy &amp; External</v>
      </c>
      <c r="G14" s="7" t="str">
        <f>Dimensions!E9</f>
        <v>DXY/利差/资本流动等外部融资条件。</v>
      </c>
    </row>
    <row r="15" spans="1:8" ht="32.25" customHeight="1">
      <c r="A15" s="7" t="str">
        <f>Scores!B63</f>
        <v>财政政策与债务约束</v>
      </c>
      <c r="B15" s="8">
        <f>Scores!C63/100</f>
        <v>0.08</v>
      </c>
      <c r="C15" s="7">
        <f>Scores!D63</f>
        <v>48.544117647058826</v>
      </c>
      <c r="D15" s="9">
        <f>Scores!E63</f>
        <v>3.8835294117647061</v>
      </c>
      <c r="F15" s="7" t="str">
        <f>Dimensions!C10</f>
        <v>Policy &amp; External</v>
      </c>
      <c r="G15" s="7" t="str">
        <f>Dimensions!E10</f>
        <v>赤字、利息负担与债务路径。</v>
      </c>
    </row>
    <row r="16" spans="1:8" ht="48" customHeight="1">
      <c r="A16" s="7" t="str">
        <f>Scores!B64</f>
        <v>金融条件与信用传导</v>
      </c>
      <c r="B16" s="8">
        <f>Scores!C64/100</f>
        <v>0.06</v>
      </c>
      <c r="C16" s="7">
        <f>Scores!D64</f>
        <v>80.8</v>
      </c>
      <c r="D16" s="9">
        <f>Scores!E64</f>
        <v>4.8479999999999999</v>
      </c>
      <c r="F16" s="7" t="str">
        <f>Dimensions!C11</f>
        <v>Core Macro</v>
      </c>
      <c r="G16" s="7" t="str">
        <f>Dimensions!E11</f>
        <v>金融条件指数、银行信贷供给与资金面压力。</v>
      </c>
    </row>
    <row r="17" spans="1:8" ht="48" customHeight="1">
      <c r="A17" s="7" t="str">
        <f>Scores!B65</f>
        <v>大宗商品与能源/地缘风险</v>
      </c>
      <c r="B17" s="8">
        <f>Scores!C65/100</f>
        <v>0.05</v>
      </c>
      <c r="C17" s="7">
        <f>Scores!D65</f>
        <v>93.823529411764696</v>
      </c>
      <c r="D17" s="9">
        <f>Scores!E65</f>
        <v>4.6911764705882346</v>
      </c>
      <c r="F17" s="7" t="str">
        <f>Dimensions!C12</f>
        <v>External/Commodities</v>
      </c>
      <c r="G17" s="7" t="str">
        <f>Dimensions!E12</f>
        <v>油价/商品与地缘风险对通胀与增长的冲击。</v>
      </c>
    </row>
    <row r="18" spans="1:8" ht="48" customHeight="1">
      <c r="A18" s="7" t="str">
        <f>Scores!B66</f>
        <v>信心与不确定性</v>
      </c>
      <c r="B18" s="8">
        <f>Scores!C66/100</f>
        <v>0.06</v>
      </c>
      <c r="C18" s="7">
        <f>Scores!D66</f>
        <v>61.945454545454545</v>
      </c>
      <c r="D18" s="9">
        <f>Scores!E66</f>
        <v>3.7167272727272729</v>
      </c>
      <c r="F18" s="7" t="str">
        <f>Dimensions!C13</f>
        <v>Soft Data</v>
      </c>
      <c r="G18" s="7" t="str">
        <f>Dimensions!E13</f>
        <v>消费者/企业信心与政策不确定性。</v>
      </c>
    </row>
    <row r="19" spans="1:8" ht="48" customHeight="1">
      <c r="A19" s="7" t="str">
        <f>Scores!B67</f>
        <v>AI资本开支周期（主题）</v>
      </c>
      <c r="B19" s="8">
        <f>Scores!C67/100</f>
        <v>0.04</v>
      </c>
      <c r="C19" s="7">
        <f>Scores!D67</f>
        <v>92.857142857142861</v>
      </c>
      <c r="D19" s="9">
        <f>Scores!E67</f>
        <v>3.7142857142857144</v>
      </c>
      <c r="F19" s="7" t="str">
        <f>Dimensions!C14</f>
        <v>Theme Panel</v>
      </c>
      <c r="G19" s="7" t="str">
        <f>Dimensions!E14</f>
        <v>云与AI资本开支/营收动能（不应喧宾夺主）。</v>
      </c>
    </row>
    <row r="20" spans="1:8" ht="48" customHeight="1">
      <c r="A20" s="7" t="str">
        <f>Scores!B68</f>
        <v>加密与稳定币流动性（主题）</v>
      </c>
      <c r="B20" s="8">
        <f>Scores!C68/100</f>
        <v>0.01</v>
      </c>
      <c r="C20" s="7">
        <f>Scores!D68</f>
        <v>51.496782608695653</v>
      </c>
      <c r="D20" s="9">
        <f>Scores!E68</f>
        <v>0.51496782608695657</v>
      </c>
      <c r="F20" s="7" t="str">
        <f>Dimensions!C15</f>
        <v>Theme Panel</v>
      </c>
      <c r="G20" s="7" t="str">
        <f>Dimensions!E15</f>
        <v>稳定币与链上流动性（低权重主题观察）。</v>
      </c>
    </row>
    <row r="22" spans="1:8" ht="15" customHeight="1">
      <c r="A22" s="72" t="s">
        <v>27</v>
      </c>
      <c r="B22" s="62"/>
      <c r="C22" s="62"/>
      <c r="D22" s="62"/>
      <c r="E22" s="62"/>
      <c r="F22" s="62"/>
      <c r="G22" s="62"/>
      <c r="H22" s="62"/>
    </row>
    <row r="23" spans="1:8" ht="15" customHeight="1">
      <c r="A23" s="62"/>
      <c r="B23" s="62"/>
      <c r="C23" s="62"/>
      <c r="D23" s="62"/>
      <c r="E23" s="62"/>
      <c r="F23" s="62"/>
      <c r="G23" s="62"/>
      <c r="H23" s="62"/>
    </row>
  </sheetData>
  <mergeCells count="2">
    <mergeCell ref="A1:H2"/>
    <mergeCell ref="A22:H2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0"/>
  <sheetViews>
    <sheetView workbookViewId="0"/>
  </sheetViews>
  <sheetFormatPr baseColWidth="10" defaultColWidth="8.83203125" defaultRowHeight="13"/>
  <cols>
    <col min="1" max="1" width="16" customWidth="1"/>
    <col min="2" max="2" width="10" customWidth="1"/>
    <col min="3" max="3" width="28" customWidth="1"/>
    <col min="4" max="4" width="24" customWidth="1"/>
    <col min="5" max="6" width="22" customWidth="1"/>
    <col min="7" max="7" width="14" customWidth="1"/>
    <col min="8" max="8" width="10" customWidth="1"/>
    <col min="9" max="9" width="36" customWidth="1"/>
    <col min="10" max="10" width="18" customWidth="1"/>
  </cols>
  <sheetData>
    <row r="1" spans="1:10" ht="24" customHeight="1">
      <c r="A1" s="65" t="s">
        <v>28</v>
      </c>
      <c r="B1" s="66"/>
      <c r="C1" s="66"/>
      <c r="D1" s="66"/>
      <c r="E1" s="66"/>
      <c r="F1" s="66"/>
      <c r="G1" s="66"/>
      <c r="H1" s="66"/>
      <c r="I1" s="66"/>
      <c r="J1" s="66"/>
    </row>
    <row r="3" spans="1:10" ht="140">
      <c r="A3" s="51" t="s">
        <v>29</v>
      </c>
      <c r="B3" s="52" t="s">
        <v>30</v>
      </c>
    </row>
    <row r="5" spans="1:10" ht="28">
      <c r="A5" s="53" t="s">
        <v>31</v>
      </c>
      <c r="B5" s="53" t="s">
        <v>32</v>
      </c>
      <c r="C5" s="53" t="s">
        <v>33</v>
      </c>
      <c r="D5" s="53" t="s">
        <v>34</v>
      </c>
      <c r="E5" s="53" t="s">
        <v>35</v>
      </c>
      <c r="F5" s="53" t="s">
        <v>36</v>
      </c>
      <c r="G5" s="53" t="s">
        <v>16</v>
      </c>
      <c r="H5" s="53" t="s">
        <v>37</v>
      </c>
      <c r="I5" s="53" t="s">
        <v>38</v>
      </c>
      <c r="J5" s="53" t="s">
        <v>39</v>
      </c>
    </row>
    <row r="6" spans="1:10" ht="28">
      <c r="A6" s="59" t="s">
        <v>40</v>
      </c>
      <c r="B6" s="59" t="s">
        <v>41</v>
      </c>
      <c r="C6" s="59" t="s">
        <v>42</v>
      </c>
      <c r="D6" s="59" t="s">
        <v>43</v>
      </c>
      <c r="E6" s="59" t="s">
        <v>44</v>
      </c>
      <c r="F6" s="59" t="s">
        <v>45</v>
      </c>
      <c r="G6" s="59" t="s">
        <v>46</v>
      </c>
      <c r="H6" s="59" t="s">
        <v>47</v>
      </c>
      <c r="I6" s="59" t="s">
        <v>48</v>
      </c>
      <c r="J6" s="59"/>
    </row>
    <row r="7" spans="1:10" ht="28">
      <c r="A7" s="59" t="s">
        <v>49</v>
      </c>
      <c r="B7" s="59" t="s">
        <v>41</v>
      </c>
      <c r="C7" s="59" t="s">
        <v>50</v>
      </c>
      <c r="D7" s="59" t="s">
        <v>51</v>
      </c>
      <c r="E7" s="59" t="s">
        <v>49</v>
      </c>
      <c r="F7" s="59" t="s">
        <v>52</v>
      </c>
      <c r="G7" s="59" t="s">
        <v>46</v>
      </c>
      <c r="H7" s="59" t="s">
        <v>53</v>
      </c>
      <c r="I7" s="59" t="s">
        <v>48</v>
      </c>
      <c r="J7" s="59"/>
    </row>
    <row r="8" spans="1:10" ht="28">
      <c r="A8" s="59" t="s">
        <v>54</v>
      </c>
      <c r="B8" s="59" t="s">
        <v>41</v>
      </c>
      <c r="C8" s="59" t="s">
        <v>55</v>
      </c>
      <c r="D8" s="59" t="s">
        <v>56</v>
      </c>
      <c r="E8" s="59" t="s">
        <v>57</v>
      </c>
      <c r="F8" s="59" t="s">
        <v>58</v>
      </c>
      <c r="G8" s="59" t="s">
        <v>59</v>
      </c>
      <c r="H8" s="59" t="s">
        <v>60</v>
      </c>
      <c r="I8" s="59" t="s">
        <v>48</v>
      </c>
      <c r="J8" s="59"/>
    </row>
    <row r="9" spans="1:10" ht="28">
      <c r="A9" s="59" t="s">
        <v>61</v>
      </c>
      <c r="B9" s="59" t="s">
        <v>41</v>
      </c>
      <c r="C9" s="59" t="s">
        <v>62</v>
      </c>
      <c r="D9" s="59" t="s">
        <v>63</v>
      </c>
      <c r="E9" s="59" t="s">
        <v>64</v>
      </c>
      <c r="F9" s="59" t="s">
        <v>65</v>
      </c>
      <c r="G9" s="59" t="s">
        <v>59</v>
      </c>
      <c r="H9" s="59" t="s">
        <v>66</v>
      </c>
      <c r="I9" s="59" t="s">
        <v>67</v>
      </c>
      <c r="J9" s="59" t="s">
        <v>68</v>
      </c>
    </row>
    <row r="10" spans="1:10" ht="14">
      <c r="A10" s="59" t="s">
        <v>69</v>
      </c>
      <c r="B10" s="59" t="s">
        <v>70</v>
      </c>
      <c r="C10" s="59" t="s">
        <v>71</v>
      </c>
      <c r="D10" s="59" t="s">
        <v>72</v>
      </c>
      <c r="E10" s="59" t="s">
        <v>73</v>
      </c>
      <c r="F10" s="59" t="s">
        <v>74</v>
      </c>
      <c r="G10" s="59" t="s">
        <v>75</v>
      </c>
      <c r="H10" s="59" t="s">
        <v>53</v>
      </c>
      <c r="I10" s="59" t="s">
        <v>76</v>
      </c>
      <c r="J10" s="59"/>
    </row>
    <row r="11" spans="1:10" ht="28">
      <c r="A11" s="59" t="s">
        <v>77</v>
      </c>
      <c r="B11" s="59" t="s">
        <v>70</v>
      </c>
      <c r="C11" s="59" t="s">
        <v>78</v>
      </c>
      <c r="D11" s="59" t="s">
        <v>79</v>
      </c>
      <c r="E11" s="59" t="s">
        <v>80</v>
      </c>
      <c r="F11" s="59" t="s">
        <v>81</v>
      </c>
      <c r="G11" s="59" t="s">
        <v>82</v>
      </c>
      <c r="H11" s="59" t="s">
        <v>66</v>
      </c>
      <c r="I11" s="59" t="s">
        <v>83</v>
      </c>
      <c r="J11" s="59"/>
    </row>
    <row r="12" spans="1:10" ht="28">
      <c r="A12" s="59" t="s">
        <v>84</v>
      </c>
      <c r="B12" s="59" t="s">
        <v>70</v>
      </c>
      <c r="C12" s="59" t="s">
        <v>85</v>
      </c>
      <c r="D12" s="59" t="s">
        <v>74</v>
      </c>
      <c r="E12" s="59" t="s">
        <v>86</v>
      </c>
      <c r="F12" s="59" t="s">
        <v>87</v>
      </c>
      <c r="G12" s="59" t="s">
        <v>59</v>
      </c>
      <c r="H12" s="59" t="s">
        <v>88</v>
      </c>
      <c r="I12" s="59" t="s">
        <v>48</v>
      </c>
      <c r="J12" s="59"/>
    </row>
    <row r="13" spans="1:10" ht="28">
      <c r="A13" s="59" t="s">
        <v>89</v>
      </c>
      <c r="B13" s="59" t="s">
        <v>70</v>
      </c>
      <c r="C13" s="59" t="s">
        <v>90</v>
      </c>
      <c r="D13" s="59" t="s">
        <v>91</v>
      </c>
      <c r="E13" s="59" t="s">
        <v>92</v>
      </c>
      <c r="F13" s="59" t="s">
        <v>93</v>
      </c>
      <c r="G13" s="59" t="s">
        <v>82</v>
      </c>
      <c r="H13" s="59" t="s">
        <v>53</v>
      </c>
      <c r="I13" s="59" t="s">
        <v>48</v>
      </c>
      <c r="J13" s="59"/>
    </row>
    <row r="14" spans="1:10" ht="28">
      <c r="A14" s="59" t="s">
        <v>94</v>
      </c>
      <c r="B14" s="59" t="s">
        <v>95</v>
      </c>
      <c r="C14" s="59" t="s">
        <v>96</v>
      </c>
      <c r="D14" s="59" t="s">
        <v>97</v>
      </c>
      <c r="E14" s="59" t="s">
        <v>98</v>
      </c>
      <c r="F14" s="59" t="s">
        <v>99</v>
      </c>
      <c r="G14" s="59" t="s">
        <v>82</v>
      </c>
      <c r="H14" s="59" t="s">
        <v>53</v>
      </c>
      <c r="I14" s="59" t="s">
        <v>48</v>
      </c>
      <c r="J14" s="59"/>
    </row>
    <row r="15" spans="1:10" ht="14">
      <c r="A15" s="59" t="s">
        <v>100</v>
      </c>
      <c r="B15" s="59" t="s">
        <v>95</v>
      </c>
      <c r="C15" s="59" t="s">
        <v>101</v>
      </c>
      <c r="D15" s="59" t="s">
        <v>102</v>
      </c>
      <c r="E15" s="59" t="s">
        <v>103</v>
      </c>
      <c r="F15" s="59" t="s">
        <v>74</v>
      </c>
      <c r="G15" s="59" t="s">
        <v>82</v>
      </c>
      <c r="H15" s="59" t="s">
        <v>53</v>
      </c>
      <c r="I15" s="59" t="s">
        <v>76</v>
      </c>
      <c r="J15" s="59"/>
    </row>
    <row r="16" spans="1:10" ht="28">
      <c r="A16" s="59" t="s">
        <v>104</v>
      </c>
      <c r="B16" s="59" t="s">
        <v>95</v>
      </c>
      <c r="C16" s="59" t="s">
        <v>105</v>
      </c>
      <c r="D16" s="59" t="s">
        <v>74</v>
      </c>
      <c r="E16" s="59" t="s">
        <v>106</v>
      </c>
      <c r="F16" s="59" t="s">
        <v>107</v>
      </c>
      <c r="G16" s="59" t="s">
        <v>46</v>
      </c>
      <c r="H16" s="59" t="s">
        <v>53</v>
      </c>
      <c r="I16" s="59" t="s">
        <v>48</v>
      </c>
      <c r="J16" s="59"/>
    </row>
    <row r="17" spans="1:10" ht="28">
      <c r="A17" s="59" t="s">
        <v>108</v>
      </c>
      <c r="B17" s="59" t="s">
        <v>109</v>
      </c>
      <c r="C17" s="59" t="s">
        <v>110</v>
      </c>
      <c r="D17" s="59" t="s">
        <v>97</v>
      </c>
      <c r="E17" s="59" t="s">
        <v>108</v>
      </c>
      <c r="F17" s="59" t="s">
        <v>111</v>
      </c>
      <c r="G17" s="59" t="s">
        <v>82</v>
      </c>
      <c r="H17" s="59" t="s">
        <v>53</v>
      </c>
      <c r="I17" s="59" t="s">
        <v>48</v>
      </c>
      <c r="J17" s="59"/>
    </row>
    <row r="18" spans="1:10" ht="28">
      <c r="A18" s="59" t="s">
        <v>112</v>
      </c>
      <c r="B18" s="59" t="s">
        <v>109</v>
      </c>
      <c r="C18" s="59" t="s">
        <v>113</v>
      </c>
      <c r="D18" s="59" t="s">
        <v>97</v>
      </c>
      <c r="E18" s="59" t="s">
        <v>114</v>
      </c>
      <c r="F18" s="59" t="s">
        <v>115</v>
      </c>
      <c r="G18" s="59" t="s">
        <v>82</v>
      </c>
      <c r="H18" s="59" t="s">
        <v>53</v>
      </c>
      <c r="I18" s="59" t="s">
        <v>48</v>
      </c>
      <c r="J18" s="59"/>
    </row>
    <row r="19" spans="1:10" ht="28">
      <c r="A19" s="59" t="s">
        <v>116</v>
      </c>
      <c r="B19" s="59" t="s">
        <v>109</v>
      </c>
      <c r="C19" s="59" t="s">
        <v>117</v>
      </c>
      <c r="D19" s="59" t="s">
        <v>74</v>
      </c>
      <c r="E19" s="59" t="s">
        <v>118</v>
      </c>
      <c r="F19" s="59" t="s">
        <v>119</v>
      </c>
      <c r="G19" s="59" t="s">
        <v>75</v>
      </c>
      <c r="H19" s="59" t="s">
        <v>53</v>
      </c>
      <c r="I19" s="59" t="s">
        <v>48</v>
      </c>
      <c r="J19" s="59"/>
    </row>
    <row r="20" spans="1:10" ht="28">
      <c r="A20" s="59" t="s">
        <v>120</v>
      </c>
      <c r="B20" s="59" t="s">
        <v>109</v>
      </c>
      <c r="C20" s="59" t="s">
        <v>121</v>
      </c>
      <c r="D20" s="59" t="s">
        <v>102</v>
      </c>
      <c r="E20" s="59" t="s">
        <v>122</v>
      </c>
      <c r="F20" s="59" t="s">
        <v>123</v>
      </c>
      <c r="G20" s="59" t="s">
        <v>82</v>
      </c>
      <c r="H20" s="59" t="s">
        <v>53</v>
      </c>
      <c r="I20" s="59" t="s">
        <v>48</v>
      </c>
      <c r="J20" s="59"/>
    </row>
    <row r="21" spans="1:10" ht="14">
      <c r="A21" s="59" t="s">
        <v>124</v>
      </c>
      <c r="B21" s="59" t="s">
        <v>125</v>
      </c>
      <c r="C21" s="59" t="s">
        <v>126</v>
      </c>
      <c r="D21" s="59" t="s">
        <v>127</v>
      </c>
      <c r="E21" s="59" t="s">
        <v>128</v>
      </c>
      <c r="F21" s="59"/>
      <c r="G21" s="59" t="s">
        <v>59</v>
      </c>
      <c r="H21" s="59" t="s">
        <v>129</v>
      </c>
      <c r="I21" s="59" t="s">
        <v>48</v>
      </c>
      <c r="J21" s="59"/>
    </row>
    <row r="22" spans="1:10" ht="28">
      <c r="A22" s="59" t="s">
        <v>130</v>
      </c>
      <c r="B22" s="59" t="s">
        <v>125</v>
      </c>
      <c r="C22" s="59" t="s">
        <v>131</v>
      </c>
      <c r="D22" s="59" t="s">
        <v>132</v>
      </c>
      <c r="E22" s="59" t="s">
        <v>133</v>
      </c>
      <c r="F22" s="59"/>
      <c r="G22" s="59" t="s">
        <v>59</v>
      </c>
      <c r="H22" s="59" t="s">
        <v>53</v>
      </c>
      <c r="I22" s="59" t="s">
        <v>48</v>
      </c>
      <c r="J22" s="59"/>
    </row>
    <row r="23" spans="1:10" ht="28">
      <c r="A23" s="59" t="s">
        <v>134</v>
      </c>
      <c r="B23" s="59" t="s">
        <v>125</v>
      </c>
      <c r="C23" s="59" t="s">
        <v>135</v>
      </c>
      <c r="D23" s="59" t="s">
        <v>74</v>
      </c>
      <c r="E23" s="59" t="s">
        <v>136</v>
      </c>
      <c r="F23" s="59" t="s">
        <v>137</v>
      </c>
      <c r="G23" s="59" t="s">
        <v>46</v>
      </c>
      <c r="H23" s="59" t="s">
        <v>47</v>
      </c>
      <c r="I23" s="59" t="s">
        <v>48</v>
      </c>
      <c r="J23" s="59"/>
    </row>
    <row r="24" spans="1:10" ht="28">
      <c r="A24" s="59" t="s">
        <v>138</v>
      </c>
      <c r="B24" s="59" t="s">
        <v>139</v>
      </c>
      <c r="C24" s="59" t="s">
        <v>140</v>
      </c>
      <c r="D24" s="59" t="s">
        <v>141</v>
      </c>
      <c r="E24" s="59" t="s">
        <v>142</v>
      </c>
      <c r="F24" s="59" t="s">
        <v>143</v>
      </c>
      <c r="G24" s="59" t="s">
        <v>59</v>
      </c>
      <c r="H24" s="59" t="s">
        <v>53</v>
      </c>
      <c r="I24" s="59" t="s">
        <v>48</v>
      </c>
      <c r="J24" s="59"/>
    </row>
    <row r="25" spans="1:10" ht="28">
      <c r="A25" s="59" t="s">
        <v>144</v>
      </c>
      <c r="B25" s="59" t="s">
        <v>139</v>
      </c>
      <c r="C25" s="59" t="s">
        <v>145</v>
      </c>
      <c r="D25" s="59" t="s">
        <v>146</v>
      </c>
      <c r="E25" s="59" t="s">
        <v>147</v>
      </c>
      <c r="F25" s="59" t="s">
        <v>148</v>
      </c>
      <c r="G25" s="59" t="s">
        <v>82</v>
      </c>
      <c r="H25" s="59" t="s">
        <v>149</v>
      </c>
      <c r="I25" s="59" t="s">
        <v>48</v>
      </c>
      <c r="J25" s="59"/>
    </row>
    <row r="26" spans="1:10" ht="28">
      <c r="A26" s="59" t="s">
        <v>150</v>
      </c>
      <c r="B26" s="59" t="s">
        <v>139</v>
      </c>
      <c r="C26" s="59" t="s">
        <v>151</v>
      </c>
      <c r="D26" s="59" t="s">
        <v>152</v>
      </c>
      <c r="E26" s="59" t="s">
        <v>153</v>
      </c>
      <c r="F26" s="59" t="s">
        <v>154</v>
      </c>
      <c r="G26" s="59" t="s">
        <v>82</v>
      </c>
      <c r="H26" s="59" t="s">
        <v>149</v>
      </c>
      <c r="I26" s="59" t="s">
        <v>48</v>
      </c>
      <c r="J26" s="59"/>
    </row>
    <row r="27" spans="1:10" ht="28">
      <c r="A27" s="59" t="s">
        <v>155</v>
      </c>
      <c r="B27" s="59" t="s">
        <v>156</v>
      </c>
      <c r="C27" s="59" t="s">
        <v>155</v>
      </c>
      <c r="D27" s="59" t="s">
        <v>157</v>
      </c>
      <c r="E27" s="59" t="s">
        <v>158</v>
      </c>
      <c r="F27" s="59" t="s">
        <v>159</v>
      </c>
      <c r="G27" s="59" t="s">
        <v>46</v>
      </c>
      <c r="H27" s="59" t="s">
        <v>66</v>
      </c>
      <c r="I27" s="59" t="s">
        <v>48</v>
      </c>
      <c r="J27" s="59"/>
    </row>
    <row r="28" spans="1:10" ht="14">
      <c r="A28" s="59" t="s">
        <v>160</v>
      </c>
      <c r="B28" s="59" t="s">
        <v>156</v>
      </c>
      <c r="C28" s="59" t="s">
        <v>160</v>
      </c>
      <c r="D28" s="59" t="s">
        <v>161</v>
      </c>
      <c r="E28" s="59" t="s">
        <v>160</v>
      </c>
      <c r="F28" s="59"/>
      <c r="G28" s="59" t="s">
        <v>46</v>
      </c>
      <c r="H28" s="59" t="s">
        <v>66</v>
      </c>
      <c r="I28" s="59" t="s">
        <v>48</v>
      </c>
      <c r="J28" s="59"/>
    </row>
    <row r="29" spans="1:10" ht="14">
      <c r="A29" s="59" t="s">
        <v>162</v>
      </c>
      <c r="B29" s="59" t="s">
        <v>156</v>
      </c>
      <c r="C29" s="59" t="s">
        <v>163</v>
      </c>
      <c r="D29" s="59" t="s">
        <v>164</v>
      </c>
      <c r="E29" s="59" t="s">
        <v>165</v>
      </c>
      <c r="F29" s="59"/>
      <c r="G29" s="59" t="s">
        <v>46</v>
      </c>
      <c r="H29" s="59" t="s">
        <v>53</v>
      </c>
      <c r="I29" s="59" t="s">
        <v>48</v>
      </c>
      <c r="J29" s="59"/>
    </row>
    <row r="30" spans="1:10" ht="14">
      <c r="A30" s="59" t="s">
        <v>166</v>
      </c>
      <c r="B30" s="59" t="s">
        <v>167</v>
      </c>
      <c r="C30" s="59" t="s">
        <v>168</v>
      </c>
      <c r="D30" s="59" t="s">
        <v>169</v>
      </c>
      <c r="E30" s="59" t="s">
        <v>166</v>
      </c>
      <c r="F30" s="59"/>
      <c r="G30" s="59" t="s">
        <v>46</v>
      </c>
      <c r="H30" s="59" t="s">
        <v>66</v>
      </c>
      <c r="I30" s="59" t="s">
        <v>48</v>
      </c>
      <c r="J30" s="59"/>
    </row>
    <row r="31" spans="1:10" ht="28">
      <c r="A31" s="59" t="s">
        <v>170</v>
      </c>
      <c r="B31" s="59" t="s">
        <v>167</v>
      </c>
      <c r="C31" s="59" t="s">
        <v>171</v>
      </c>
      <c r="D31" s="59" t="s">
        <v>172</v>
      </c>
      <c r="E31" s="59" t="s">
        <v>165</v>
      </c>
      <c r="F31" s="59"/>
      <c r="G31" s="59" t="s">
        <v>46</v>
      </c>
      <c r="H31" s="59" t="s">
        <v>47</v>
      </c>
      <c r="I31" s="59" t="s">
        <v>48</v>
      </c>
      <c r="J31" s="59"/>
    </row>
    <row r="32" spans="1:10" ht="14">
      <c r="A32" s="59" t="s">
        <v>173</v>
      </c>
      <c r="B32" s="59" t="s">
        <v>167</v>
      </c>
      <c r="C32" s="59" t="s">
        <v>174</v>
      </c>
      <c r="D32" s="59" t="s">
        <v>175</v>
      </c>
      <c r="E32" s="59" t="s">
        <v>176</v>
      </c>
      <c r="F32" s="59"/>
      <c r="G32" s="59" t="s">
        <v>82</v>
      </c>
      <c r="H32" s="59" t="s">
        <v>177</v>
      </c>
      <c r="I32" s="59" t="s">
        <v>48</v>
      </c>
      <c r="J32" s="59"/>
    </row>
    <row r="33" spans="1:10" ht="28">
      <c r="A33" s="59" t="s">
        <v>178</v>
      </c>
      <c r="B33" s="59" t="s">
        <v>179</v>
      </c>
      <c r="C33" s="59" t="s">
        <v>180</v>
      </c>
      <c r="D33" s="59" t="s">
        <v>181</v>
      </c>
      <c r="E33" s="59" t="s">
        <v>182</v>
      </c>
      <c r="F33" s="59" t="s">
        <v>183</v>
      </c>
      <c r="G33" s="59" t="s">
        <v>184</v>
      </c>
      <c r="H33" s="59" t="s">
        <v>53</v>
      </c>
      <c r="I33" s="59" t="s">
        <v>48</v>
      </c>
      <c r="J33" s="59"/>
    </row>
    <row r="34" spans="1:10" ht="28">
      <c r="A34" s="59" t="s">
        <v>185</v>
      </c>
      <c r="B34" s="59" t="s">
        <v>179</v>
      </c>
      <c r="C34" s="59" t="s">
        <v>186</v>
      </c>
      <c r="D34" s="59" t="s">
        <v>181</v>
      </c>
      <c r="E34" s="59" t="s">
        <v>182</v>
      </c>
      <c r="F34" s="59" t="s">
        <v>183</v>
      </c>
      <c r="G34" s="59" t="s">
        <v>187</v>
      </c>
      <c r="H34" s="59" t="s">
        <v>53</v>
      </c>
      <c r="I34" s="59" t="s">
        <v>48</v>
      </c>
      <c r="J34" s="59"/>
    </row>
    <row r="35" spans="1:10" ht="14">
      <c r="A35" s="59" t="s">
        <v>188</v>
      </c>
      <c r="B35" s="59" t="s">
        <v>179</v>
      </c>
      <c r="C35" s="59" t="s">
        <v>189</v>
      </c>
      <c r="D35" s="59" t="s">
        <v>190</v>
      </c>
      <c r="E35" s="59" t="s">
        <v>165</v>
      </c>
      <c r="F35" s="59"/>
      <c r="G35" s="59" t="s">
        <v>187</v>
      </c>
      <c r="H35" s="59" t="s">
        <v>53</v>
      </c>
      <c r="I35" s="59" t="s">
        <v>48</v>
      </c>
      <c r="J35" s="59"/>
    </row>
    <row r="36" spans="1:10" ht="14">
      <c r="A36" s="59" t="s">
        <v>191</v>
      </c>
      <c r="B36" s="59" t="s">
        <v>192</v>
      </c>
      <c r="C36" s="59" t="s">
        <v>193</v>
      </c>
      <c r="D36" s="59" t="s">
        <v>194</v>
      </c>
      <c r="E36" s="59" t="s">
        <v>191</v>
      </c>
      <c r="F36" s="59"/>
      <c r="G36" s="59" t="s">
        <v>59</v>
      </c>
      <c r="H36" s="59" t="s">
        <v>66</v>
      </c>
      <c r="I36" s="59" t="s">
        <v>48</v>
      </c>
      <c r="J36" s="59"/>
    </row>
    <row r="37" spans="1:10" ht="14">
      <c r="A37" s="59" t="s">
        <v>195</v>
      </c>
      <c r="B37" s="59" t="s">
        <v>192</v>
      </c>
      <c r="C37" s="59" t="s">
        <v>196</v>
      </c>
      <c r="D37" s="59" t="s">
        <v>197</v>
      </c>
      <c r="E37" s="59" t="s">
        <v>198</v>
      </c>
      <c r="F37" s="59"/>
      <c r="G37" s="59" t="s">
        <v>199</v>
      </c>
      <c r="H37" s="59" t="s">
        <v>53</v>
      </c>
      <c r="I37" s="59" t="s">
        <v>48</v>
      </c>
      <c r="J37" s="59"/>
    </row>
    <row r="38" spans="1:10" ht="28">
      <c r="A38" s="59" t="s">
        <v>200</v>
      </c>
      <c r="B38" s="59" t="s">
        <v>192</v>
      </c>
      <c r="C38" s="59" t="s">
        <v>201</v>
      </c>
      <c r="D38" s="59" t="s">
        <v>74</v>
      </c>
      <c r="E38" s="59" t="s">
        <v>202</v>
      </c>
      <c r="F38" s="59" t="s">
        <v>203</v>
      </c>
      <c r="G38" s="59" t="s">
        <v>46</v>
      </c>
      <c r="H38" s="59" t="s">
        <v>47</v>
      </c>
      <c r="I38" s="59" t="s">
        <v>48</v>
      </c>
      <c r="J38" s="59"/>
    </row>
    <row r="39" spans="1:10" ht="14">
      <c r="A39" s="59" t="s">
        <v>204</v>
      </c>
      <c r="B39" s="59" t="s">
        <v>205</v>
      </c>
      <c r="C39" s="59" t="s">
        <v>206</v>
      </c>
      <c r="D39" s="59" t="s">
        <v>207</v>
      </c>
      <c r="E39" s="59" t="s">
        <v>204</v>
      </c>
      <c r="F39" s="59"/>
      <c r="G39" s="59" t="s">
        <v>46</v>
      </c>
      <c r="H39" s="59" t="s">
        <v>208</v>
      </c>
      <c r="I39" s="59" t="s">
        <v>48</v>
      </c>
      <c r="J39" s="59"/>
    </row>
    <row r="40" spans="1:10" ht="14">
      <c r="A40" s="59" t="s">
        <v>209</v>
      </c>
      <c r="B40" s="59" t="s">
        <v>205</v>
      </c>
      <c r="C40" s="59" t="s">
        <v>210</v>
      </c>
      <c r="D40" s="59" t="s">
        <v>211</v>
      </c>
      <c r="E40" s="59" t="s">
        <v>209</v>
      </c>
      <c r="F40" s="59"/>
      <c r="G40" s="59" t="s">
        <v>59</v>
      </c>
      <c r="H40" s="59" t="s">
        <v>53</v>
      </c>
      <c r="I40" s="59" t="s">
        <v>48</v>
      </c>
      <c r="J40" s="59"/>
    </row>
    <row r="41" spans="1:10" ht="28">
      <c r="A41" s="59" t="s">
        <v>212</v>
      </c>
      <c r="B41" s="59" t="s">
        <v>205</v>
      </c>
      <c r="C41" s="59" t="s">
        <v>213</v>
      </c>
      <c r="D41" s="59" t="s">
        <v>214</v>
      </c>
      <c r="E41" s="59" t="s">
        <v>212</v>
      </c>
      <c r="F41" s="59" t="s">
        <v>215</v>
      </c>
      <c r="G41" s="59" t="s">
        <v>82</v>
      </c>
      <c r="H41" s="59" t="s">
        <v>66</v>
      </c>
      <c r="I41" s="59" t="s">
        <v>216</v>
      </c>
      <c r="J41" s="59"/>
    </row>
    <row r="42" spans="1:10" ht="28">
      <c r="A42" s="59" t="s">
        <v>217</v>
      </c>
      <c r="B42" s="59" t="s">
        <v>218</v>
      </c>
      <c r="C42" s="59" t="s">
        <v>219</v>
      </c>
      <c r="D42" s="59" t="s">
        <v>91</v>
      </c>
      <c r="E42" s="59" t="s">
        <v>220</v>
      </c>
      <c r="F42" s="59" t="s">
        <v>93</v>
      </c>
      <c r="G42" s="59" t="s">
        <v>82</v>
      </c>
      <c r="H42" s="59" t="s">
        <v>66</v>
      </c>
      <c r="I42" s="59" t="s">
        <v>48</v>
      </c>
      <c r="J42" s="59"/>
    </row>
    <row r="43" spans="1:10" ht="28">
      <c r="A43" s="59" t="s">
        <v>221</v>
      </c>
      <c r="B43" s="59" t="s">
        <v>218</v>
      </c>
      <c r="C43" s="59" t="s">
        <v>222</v>
      </c>
      <c r="D43" s="59" t="s">
        <v>91</v>
      </c>
      <c r="E43" s="59" t="s">
        <v>222</v>
      </c>
      <c r="F43" s="59" t="s">
        <v>81</v>
      </c>
      <c r="G43" s="59" t="s">
        <v>75</v>
      </c>
      <c r="H43" s="59" t="s">
        <v>66</v>
      </c>
      <c r="I43" s="59" t="s">
        <v>83</v>
      </c>
      <c r="J43" s="59"/>
    </row>
    <row r="44" spans="1:10" ht="28">
      <c r="A44" s="59" t="s">
        <v>223</v>
      </c>
      <c r="B44" s="59" t="s">
        <v>218</v>
      </c>
      <c r="C44" s="59" t="s">
        <v>224</v>
      </c>
      <c r="D44" s="59" t="s">
        <v>225</v>
      </c>
      <c r="E44" s="59" t="s">
        <v>223</v>
      </c>
      <c r="F44" s="59" t="s">
        <v>215</v>
      </c>
      <c r="G44" s="59" t="s">
        <v>82</v>
      </c>
      <c r="H44" s="59" t="s">
        <v>66</v>
      </c>
      <c r="I44" s="59" t="s">
        <v>216</v>
      </c>
      <c r="J44" s="59"/>
    </row>
    <row r="45" spans="1:10" ht="28">
      <c r="A45" s="59" t="s">
        <v>226</v>
      </c>
      <c r="B45" s="59" t="s">
        <v>227</v>
      </c>
      <c r="C45" s="59" t="s">
        <v>228</v>
      </c>
      <c r="D45" s="59" t="s">
        <v>229</v>
      </c>
      <c r="E45" s="59" t="s">
        <v>230</v>
      </c>
      <c r="F45" s="59" t="s">
        <v>231</v>
      </c>
      <c r="G45" s="59" t="s">
        <v>75</v>
      </c>
      <c r="H45" s="59" t="s">
        <v>53</v>
      </c>
      <c r="I45" s="59" t="s">
        <v>48</v>
      </c>
      <c r="J45" s="59"/>
    </row>
    <row r="46" spans="1:10" ht="14">
      <c r="A46" s="59" t="s">
        <v>232</v>
      </c>
      <c r="B46" s="59" t="s">
        <v>227</v>
      </c>
      <c r="C46" s="59" t="s">
        <v>233</v>
      </c>
      <c r="D46" s="59" t="s">
        <v>234</v>
      </c>
      <c r="E46" s="59" t="s">
        <v>165</v>
      </c>
      <c r="F46" s="59"/>
      <c r="G46" s="59" t="s">
        <v>75</v>
      </c>
      <c r="H46" s="59" t="s">
        <v>66</v>
      </c>
      <c r="I46" s="59" t="s">
        <v>48</v>
      </c>
      <c r="J46" s="59"/>
    </row>
    <row r="47" spans="1:10" ht="14">
      <c r="A47" s="59" t="s">
        <v>235</v>
      </c>
      <c r="B47" s="59" t="s">
        <v>227</v>
      </c>
      <c r="C47" s="59" t="s">
        <v>236</v>
      </c>
      <c r="D47" s="59" t="s">
        <v>237</v>
      </c>
      <c r="E47" s="59" t="s">
        <v>165</v>
      </c>
      <c r="F47" s="59"/>
      <c r="G47" s="59" t="s">
        <v>82</v>
      </c>
      <c r="H47" s="59" t="s">
        <v>238</v>
      </c>
      <c r="I47" s="59" t="s">
        <v>48</v>
      </c>
      <c r="J47" s="59"/>
    </row>
    <row r="48" spans="1:10" ht="28">
      <c r="A48" s="59" t="s">
        <v>239</v>
      </c>
      <c r="B48" s="59" t="s">
        <v>240</v>
      </c>
      <c r="C48" s="59" t="s">
        <v>241</v>
      </c>
      <c r="D48" s="59" t="s">
        <v>242</v>
      </c>
      <c r="E48" s="59" t="s">
        <v>239</v>
      </c>
      <c r="F48" s="59" t="s">
        <v>243</v>
      </c>
      <c r="G48" s="59" t="s">
        <v>46</v>
      </c>
      <c r="H48" s="59" t="s">
        <v>244</v>
      </c>
      <c r="I48" s="59" t="s">
        <v>245</v>
      </c>
      <c r="J48" s="59"/>
    </row>
    <row r="49" spans="1:10" ht="28">
      <c r="A49" s="59" t="s">
        <v>246</v>
      </c>
      <c r="B49" s="59" t="s">
        <v>240</v>
      </c>
      <c r="C49" s="59" t="s">
        <v>247</v>
      </c>
      <c r="D49" s="59" t="s">
        <v>242</v>
      </c>
      <c r="E49" s="59" t="s">
        <v>248</v>
      </c>
      <c r="F49" s="59" t="s">
        <v>243</v>
      </c>
      <c r="G49" s="59" t="s">
        <v>46</v>
      </c>
      <c r="H49" s="59" t="s">
        <v>177</v>
      </c>
      <c r="I49" s="59" t="s">
        <v>245</v>
      </c>
      <c r="J49" s="59"/>
    </row>
    <row r="50" spans="1:10" ht="28">
      <c r="A50" s="59" t="s">
        <v>249</v>
      </c>
      <c r="B50" s="59" t="s">
        <v>240</v>
      </c>
      <c r="C50" s="59" t="s">
        <v>250</v>
      </c>
      <c r="D50" s="59" t="s">
        <v>242</v>
      </c>
      <c r="E50" s="59" t="s">
        <v>251</v>
      </c>
      <c r="F50" s="59" t="s">
        <v>252</v>
      </c>
      <c r="G50" s="59" t="s">
        <v>46</v>
      </c>
      <c r="H50" s="59" t="s">
        <v>177</v>
      </c>
      <c r="I50" s="59" t="s">
        <v>48</v>
      </c>
      <c r="J50" s="59"/>
    </row>
  </sheetData>
  <mergeCells count="1">
    <mergeCell ref="A1:J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workbookViewId="0"/>
  </sheetViews>
  <sheetFormatPr baseColWidth="10" defaultColWidth="8.83203125" defaultRowHeight="13"/>
  <cols>
    <col min="1" max="1" width="18" customWidth="1"/>
    <col min="2" max="2" width="22" customWidth="1"/>
    <col min="3" max="4" width="26" customWidth="1"/>
    <col min="5" max="5" width="14" customWidth="1"/>
    <col min="6" max="6" width="12" customWidth="1"/>
    <col min="7" max="7" width="10" customWidth="1"/>
    <col min="8" max="8" width="24" customWidth="1"/>
  </cols>
  <sheetData>
    <row r="1" spans="1:8" ht="24" customHeight="1">
      <c r="A1" s="65" t="s">
        <v>253</v>
      </c>
      <c r="B1" s="66"/>
      <c r="C1" s="66"/>
      <c r="D1" s="66"/>
      <c r="E1" s="66"/>
      <c r="F1" s="66"/>
      <c r="G1" s="66"/>
      <c r="H1" s="66"/>
    </row>
    <row r="3" spans="1:8" ht="14">
      <c r="A3" s="53" t="s">
        <v>254</v>
      </c>
      <c r="B3" s="53" t="s">
        <v>255</v>
      </c>
      <c r="C3" s="53" t="s">
        <v>256</v>
      </c>
      <c r="D3" s="53" t="s">
        <v>257</v>
      </c>
      <c r="E3" s="53" t="s">
        <v>258</v>
      </c>
      <c r="F3" s="53" t="s">
        <v>259</v>
      </c>
      <c r="G3" s="53" t="s">
        <v>260</v>
      </c>
      <c r="H3" s="53" t="s">
        <v>26</v>
      </c>
    </row>
    <row r="4" spans="1:8" ht="42">
      <c r="A4" s="59" t="s">
        <v>74</v>
      </c>
      <c r="B4" s="59" t="s">
        <v>261</v>
      </c>
      <c r="C4" s="59" t="s">
        <v>262</v>
      </c>
      <c r="D4" s="59" t="s">
        <v>263</v>
      </c>
      <c r="E4" s="59" t="s">
        <v>264</v>
      </c>
      <c r="F4" s="59" t="s">
        <v>265</v>
      </c>
      <c r="G4" s="59" t="s">
        <v>266</v>
      </c>
      <c r="H4" s="59" t="s">
        <v>267</v>
      </c>
    </row>
    <row r="5" spans="1:8" ht="28">
      <c r="A5" s="59" t="s">
        <v>72</v>
      </c>
      <c r="B5" s="59" t="s">
        <v>268</v>
      </c>
      <c r="C5" s="59" t="s">
        <v>269</v>
      </c>
      <c r="D5" s="59" t="s">
        <v>270</v>
      </c>
      <c r="E5" s="59" t="s">
        <v>271</v>
      </c>
      <c r="F5" s="59" t="s">
        <v>272</v>
      </c>
      <c r="G5" s="59" t="s">
        <v>266</v>
      </c>
      <c r="H5" s="59" t="s">
        <v>273</v>
      </c>
    </row>
    <row r="6" spans="1:8" ht="14">
      <c r="A6" s="59" t="s">
        <v>274</v>
      </c>
      <c r="B6" s="59" t="s">
        <v>275</v>
      </c>
      <c r="C6" s="59" t="s">
        <v>276</v>
      </c>
      <c r="D6" s="59" t="s">
        <v>277</v>
      </c>
      <c r="E6" s="59" t="s">
        <v>82</v>
      </c>
      <c r="F6" s="59" t="s">
        <v>278</v>
      </c>
      <c r="G6" s="59" t="s">
        <v>266</v>
      </c>
      <c r="H6" s="59" t="s">
        <v>279</v>
      </c>
    </row>
    <row r="7" spans="1:8" ht="28">
      <c r="A7" s="59" t="s">
        <v>280</v>
      </c>
      <c r="B7" s="59" t="s">
        <v>281</v>
      </c>
      <c r="C7" s="59" t="s">
        <v>282</v>
      </c>
      <c r="D7" s="59" t="s">
        <v>283</v>
      </c>
      <c r="E7" s="59" t="s">
        <v>284</v>
      </c>
      <c r="F7" s="59" t="s">
        <v>285</v>
      </c>
      <c r="G7" s="59" t="s">
        <v>266</v>
      </c>
      <c r="H7" s="59" t="s">
        <v>286</v>
      </c>
    </row>
    <row r="8" spans="1:8" ht="14">
      <c r="A8" s="59" t="s">
        <v>287</v>
      </c>
      <c r="B8" s="59" t="s">
        <v>288</v>
      </c>
      <c r="C8" s="59" t="s">
        <v>289</v>
      </c>
      <c r="D8" s="59" t="s">
        <v>290</v>
      </c>
      <c r="E8" s="59" t="s">
        <v>46</v>
      </c>
      <c r="F8" s="59" t="s">
        <v>272</v>
      </c>
      <c r="G8" s="59" t="s">
        <v>266</v>
      </c>
      <c r="H8" s="59" t="s">
        <v>291</v>
      </c>
    </row>
    <row r="9" spans="1:8" ht="28">
      <c r="A9" s="59" t="s">
        <v>141</v>
      </c>
      <c r="B9" s="59" t="s">
        <v>292</v>
      </c>
      <c r="C9" s="59" t="s">
        <v>142</v>
      </c>
      <c r="D9" s="59" t="s">
        <v>143</v>
      </c>
      <c r="E9" s="59" t="s">
        <v>59</v>
      </c>
      <c r="F9" s="59" t="s">
        <v>53</v>
      </c>
      <c r="G9" s="59" t="s">
        <v>266</v>
      </c>
      <c r="H9" s="59" t="s">
        <v>293</v>
      </c>
    </row>
    <row r="10" spans="1:8" ht="14">
      <c r="A10" s="59" t="s">
        <v>294</v>
      </c>
      <c r="B10" s="59" t="s">
        <v>295</v>
      </c>
      <c r="C10" s="59" t="s">
        <v>296</v>
      </c>
      <c r="D10" s="59" t="s">
        <v>148</v>
      </c>
      <c r="E10" s="59" t="s">
        <v>82</v>
      </c>
      <c r="F10" s="59" t="s">
        <v>297</v>
      </c>
      <c r="G10" s="59" t="s">
        <v>298</v>
      </c>
      <c r="H10" s="59" t="s">
        <v>299</v>
      </c>
    </row>
    <row r="11" spans="1:8" ht="14">
      <c r="A11" s="59" t="s">
        <v>300</v>
      </c>
      <c r="B11" s="59" t="s">
        <v>301</v>
      </c>
      <c r="C11" s="59" t="s">
        <v>302</v>
      </c>
      <c r="D11" s="59" t="s">
        <v>303</v>
      </c>
      <c r="E11" s="59" t="s">
        <v>304</v>
      </c>
      <c r="F11" s="59" t="s">
        <v>305</v>
      </c>
      <c r="G11" s="59" t="s">
        <v>266</v>
      </c>
      <c r="H11" s="59" t="s">
        <v>306</v>
      </c>
    </row>
    <row r="12" spans="1:8" ht="14">
      <c r="A12" s="59" t="s">
        <v>307</v>
      </c>
      <c r="B12" s="59" t="s">
        <v>308</v>
      </c>
      <c r="C12" s="59" t="s">
        <v>308</v>
      </c>
      <c r="D12" s="59" t="s">
        <v>309</v>
      </c>
      <c r="E12" s="59" t="s">
        <v>46</v>
      </c>
      <c r="F12" s="59" t="s">
        <v>66</v>
      </c>
      <c r="G12" s="59" t="s">
        <v>298</v>
      </c>
      <c r="H12" s="59" t="s">
        <v>310</v>
      </c>
    </row>
    <row r="13" spans="1:8" ht="28">
      <c r="A13" s="59" t="s">
        <v>311</v>
      </c>
      <c r="B13" s="59" t="s">
        <v>312</v>
      </c>
      <c r="C13" s="59" t="s">
        <v>313</v>
      </c>
      <c r="D13" s="59" t="s">
        <v>314</v>
      </c>
      <c r="E13" s="59" t="s">
        <v>315</v>
      </c>
      <c r="F13" s="59" t="s">
        <v>66</v>
      </c>
      <c r="G13" s="59" t="s">
        <v>298</v>
      </c>
      <c r="H13" s="59" t="s">
        <v>316</v>
      </c>
    </row>
    <row r="14" spans="1:8" ht="28">
      <c r="A14" s="59" t="s">
        <v>243</v>
      </c>
      <c r="B14" s="59" t="s">
        <v>317</v>
      </c>
      <c r="C14" s="59" t="s">
        <v>318</v>
      </c>
      <c r="D14" s="59" t="s">
        <v>319</v>
      </c>
      <c r="E14" s="59" t="s">
        <v>46</v>
      </c>
      <c r="F14" s="59" t="s">
        <v>320</v>
      </c>
      <c r="G14" s="59" t="s">
        <v>321</v>
      </c>
      <c r="H14" s="59" t="s">
        <v>322</v>
      </c>
    </row>
  </sheetData>
  <mergeCells count="1">
    <mergeCell ref="A1:H1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B9BD5"/>
  </sheetPr>
  <dimension ref="A1:H24"/>
  <sheetViews>
    <sheetView showGridLines="0" zoomScaleNormal="100" workbookViewId="0"/>
  </sheetViews>
  <sheetFormatPr baseColWidth="10" defaultColWidth="8.6640625" defaultRowHeight="15" customHeight="1"/>
  <cols>
    <col min="1" max="1" width="10" customWidth="1"/>
    <col min="2" max="2" width="24" customWidth="1"/>
    <col min="3" max="3" width="18" customWidth="1"/>
    <col min="4" max="4" width="10" customWidth="1"/>
    <col min="5" max="5" width="42" customWidth="1"/>
    <col min="6" max="6" width="10" customWidth="1"/>
    <col min="7" max="7" width="16" customWidth="1"/>
    <col min="8" max="8" width="38" customWidth="1"/>
  </cols>
  <sheetData>
    <row r="1" spans="1:8" ht="27.75" customHeight="1">
      <c r="A1" s="77" t="s">
        <v>323</v>
      </c>
      <c r="B1" s="62"/>
      <c r="C1" s="62"/>
      <c r="D1" s="62"/>
      <c r="E1" s="62"/>
      <c r="F1" s="62"/>
      <c r="G1" s="62"/>
      <c r="H1" s="62"/>
    </row>
    <row r="2" spans="1:8" ht="21.75" customHeight="1">
      <c r="A2" s="76" t="s">
        <v>324</v>
      </c>
      <c r="B2" s="62"/>
      <c r="C2" s="62"/>
      <c r="D2" s="62"/>
      <c r="E2" s="62"/>
      <c r="F2" s="62"/>
      <c r="G2" s="62"/>
      <c r="H2" s="62"/>
    </row>
    <row r="3" spans="1:8" ht="21.75" customHeight="1"/>
    <row r="4" spans="1:8" ht="21.75" customHeight="1">
      <c r="A4" s="10" t="s">
        <v>325</v>
      </c>
      <c r="B4" s="10" t="s">
        <v>326</v>
      </c>
      <c r="C4" s="10" t="s">
        <v>15</v>
      </c>
      <c r="D4" s="10" t="s">
        <v>12</v>
      </c>
      <c r="E4" s="10" t="s">
        <v>327</v>
      </c>
      <c r="F4" s="10" t="s">
        <v>16</v>
      </c>
      <c r="G4" s="10" t="s">
        <v>328</v>
      </c>
      <c r="H4" s="10" t="s">
        <v>39</v>
      </c>
    </row>
    <row r="5" spans="1:8" ht="21.75" customHeight="1">
      <c r="A5" s="11" t="s">
        <v>41</v>
      </c>
      <c r="B5" s="12" t="s">
        <v>329</v>
      </c>
      <c r="C5" s="11" t="s">
        <v>330</v>
      </c>
      <c r="D5" s="11" t="s">
        <v>331</v>
      </c>
      <c r="E5" s="11" t="s">
        <v>332</v>
      </c>
      <c r="F5" s="12" t="s">
        <v>333</v>
      </c>
      <c r="G5" s="12" t="s">
        <v>334</v>
      </c>
      <c r="H5" s="12" t="s">
        <v>335</v>
      </c>
    </row>
    <row r="6" spans="1:8" ht="21.75" customHeight="1">
      <c r="A6" s="13" t="s">
        <v>70</v>
      </c>
      <c r="B6" s="14" t="s">
        <v>336</v>
      </c>
      <c r="C6" s="13" t="s">
        <v>330</v>
      </c>
      <c r="D6" s="13" t="s">
        <v>337</v>
      </c>
      <c r="E6" s="14" t="s">
        <v>338</v>
      </c>
      <c r="F6" s="14" t="s">
        <v>339</v>
      </c>
      <c r="G6" s="14" t="s">
        <v>340</v>
      </c>
      <c r="H6" s="14" t="s">
        <v>341</v>
      </c>
    </row>
    <row r="7" spans="1:8" ht="21.75" customHeight="1">
      <c r="A7" s="15" t="s">
        <v>95</v>
      </c>
      <c r="B7" s="7" t="s">
        <v>342</v>
      </c>
      <c r="C7" s="15" t="s">
        <v>330</v>
      </c>
      <c r="D7" s="15" t="s">
        <v>343</v>
      </c>
      <c r="E7" s="7" t="s">
        <v>344</v>
      </c>
      <c r="F7" s="7" t="s">
        <v>345</v>
      </c>
      <c r="G7" s="7" t="s">
        <v>346</v>
      </c>
      <c r="H7" s="7" t="s">
        <v>347</v>
      </c>
    </row>
    <row r="8" spans="1:8" ht="21.75" customHeight="1">
      <c r="A8" s="13" t="s">
        <v>109</v>
      </c>
      <c r="B8" s="14" t="s">
        <v>348</v>
      </c>
      <c r="C8" s="13" t="s">
        <v>330</v>
      </c>
      <c r="D8" s="13" t="s">
        <v>343</v>
      </c>
      <c r="E8" s="14" t="s">
        <v>349</v>
      </c>
      <c r="F8" s="14" t="s">
        <v>350</v>
      </c>
      <c r="G8" s="14" t="s">
        <v>351</v>
      </c>
      <c r="H8" s="14" t="s">
        <v>352</v>
      </c>
    </row>
    <row r="9" spans="1:8" ht="21.75" customHeight="1">
      <c r="A9" s="15" t="s">
        <v>125</v>
      </c>
      <c r="B9" s="7" t="s">
        <v>353</v>
      </c>
      <c r="C9" s="15" t="s">
        <v>330</v>
      </c>
      <c r="D9" s="15" t="s">
        <v>354</v>
      </c>
      <c r="E9" s="7" t="s">
        <v>355</v>
      </c>
      <c r="F9" s="7" t="s">
        <v>356</v>
      </c>
      <c r="G9" s="7" t="s">
        <v>351</v>
      </c>
      <c r="H9" s="7" t="s">
        <v>357</v>
      </c>
    </row>
    <row r="10" spans="1:8" ht="21.75" customHeight="1">
      <c r="A10" s="13" t="s">
        <v>139</v>
      </c>
      <c r="B10" s="14" t="s">
        <v>358</v>
      </c>
      <c r="C10" s="13" t="s">
        <v>330</v>
      </c>
      <c r="D10" s="13" t="s">
        <v>359</v>
      </c>
      <c r="E10" s="13" t="s">
        <v>360</v>
      </c>
      <c r="F10" s="14" t="s">
        <v>361</v>
      </c>
      <c r="G10" s="14" t="s">
        <v>351</v>
      </c>
      <c r="H10" s="14" t="s">
        <v>362</v>
      </c>
    </row>
    <row r="11" spans="1:8" ht="21.75" customHeight="1">
      <c r="A11" s="15" t="s">
        <v>156</v>
      </c>
      <c r="B11" s="7" t="s">
        <v>363</v>
      </c>
      <c r="C11" s="15" t="s">
        <v>364</v>
      </c>
      <c r="D11" s="15" t="s">
        <v>359</v>
      </c>
      <c r="E11" s="15" t="s">
        <v>365</v>
      </c>
      <c r="F11" s="7" t="s">
        <v>333</v>
      </c>
      <c r="G11" s="15" t="s">
        <v>366</v>
      </c>
      <c r="H11" s="7" t="s">
        <v>367</v>
      </c>
    </row>
    <row r="12" spans="1:8" ht="21.75" customHeight="1">
      <c r="A12" s="13" t="s">
        <v>167</v>
      </c>
      <c r="B12" s="14" t="s">
        <v>368</v>
      </c>
      <c r="C12" s="13" t="s">
        <v>369</v>
      </c>
      <c r="D12" s="13" t="s">
        <v>370</v>
      </c>
      <c r="E12" s="13" t="s">
        <v>371</v>
      </c>
      <c r="F12" s="14" t="s">
        <v>361</v>
      </c>
      <c r="G12" s="14" t="s">
        <v>346</v>
      </c>
      <c r="H12" s="14" t="s">
        <v>372</v>
      </c>
    </row>
    <row r="13" spans="1:8" ht="21.75" customHeight="1">
      <c r="A13" s="16" t="s">
        <v>179</v>
      </c>
      <c r="B13" s="17" t="s">
        <v>373</v>
      </c>
      <c r="C13" s="16" t="s">
        <v>369</v>
      </c>
      <c r="D13" s="16" t="s">
        <v>354</v>
      </c>
      <c r="E13" s="17" t="s">
        <v>374</v>
      </c>
      <c r="F13" s="17" t="s">
        <v>375</v>
      </c>
      <c r="G13" s="16" t="s">
        <v>366</v>
      </c>
      <c r="H13" s="17" t="s">
        <v>376</v>
      </c>
    </row>
    <row r="14" spans="1:8" ht="21.75" customHeight="1">
      <c r="A14" s="13" t="s">
        <v>192</v>
      </c>
      <c r="B14" s="14" t="s">
        <v>377</v>
      </c>
      <c r="C14" s="13" t="s">
        <v>369</v>
      </c>
      <c r="D14" s="13" t="s">
        <v>359</v>
      </c>
      <c r="E14" s="13" t="s">
        <v>378</v>
      </c>
      <c r="F14" s="14" t="s">
        <v>361</v>
      </c>
      <c r="G14" s="14" t="s">
        <v>379</v>
      </c>
      <c r="H14" s="14" t="s">
        <v>380</v>
      </c>
    </row>
    <row r="15" spans="1:8" ht="21.75" customHeight="1">
      <c r="A15" s="16" t="s">
        <v>205</v>
      </c>
      <c r="B15" s="17" t="s">
        <v>381</v>
      </c>
      <c r="C15" s="16" t="s">
        <v>382</v>
      </c>
      <c r="D15" s="16" t="s">
        <v>383</v>
      </c>
      <c r="E15" s="16" t="s">
        <v>384</v>
      </c>
      <c r="F15" s="17" t="s">
        <v>385</v>
      </c>
      <c r="G15" s="17" t="s">
        <v>346</v>
      </c>
      <c r="H15" s="17" t="s">
        <v>386</v>
      </c>
    </row>
    <row r="16" spans="1:8" ht="21.75" customHeight="1">
      <c r="A16" s="13" t="s">
        <v>218</v>
      </c>
      <c r="B16" s="14" t="s">
        <v>387</v>
      </c>
      <c r="C16" s="13" t="s">
        <v>388</v>
      </c>
      <c r="D16" s="13" t="s">
        <v>359</v>
      </c>
      <c r="E16" s="14" t="s">
        <v>389</v>
      </c>
      <c r="F16" s="14" t="s">
        <v>350</v>
      </c>
      <c r="G16" s="14" t="s">
        <v>390</v>
      </c>
      <c r="H16" s="14" t="s">
        <v>391</v>
      </c>
    </row>
    <row r="17" spans="1:8" ht="21.75" customHeight="1">
      <c r="A17" s="18" t="s">
        <v>227</v>
      </c>
      <c r="B17" s="18" t="s">
        <v>392</v>
      </c>
      <c r="C17" s="18" t="s">
        <v>393</v>
      </c>
      <c r="D17" s="18" t="s">
        <v>394</v>
      </c>
      <c r="E17" s="19" t="s">
        <v>395</v>
      </c>
      <c r="F17" s="19" t="s">
        <v>396</v>
      </c>
      <c r="G17" s="19" t="s">
        <v>379</v>
      </c>
      <c r="H17" s="19" t="s">
        <v>397</v>
      </c>
    </row>
    <row r="18" spans="1:8" ht="21.75" customHeight="1">
      <c r="A18" s="13" t="s">
        <v>240</v>
      </c>
      <c r="B18" s="14" t="s">
        <v>398</v>
      </c>
      <c r="C18" s="13" t="s">
        <v>393</v>
      </c>
      <c r="D18" s="13" t="s">
        <v>399</v>
      </c>
      <c r="E18" s="13" t="s">
        <v>400</v>
      </c>
      <c r="F18" s="14" t="s">
        <v>333</v>
      </c>
      <c r="G18" s="14" t="s">
        <v>401</v>
      </c>
      <c r="H18" s="14" t="s">
        <v>402</v>
      </c>
    </row>
    <row r="19" spans="1:8" ht="21.75" customHeight="1">
      <c r="A19" s="15"/>
      <c r="B19" s="15"/>
      <c r="C19" s="15"/>
      <c r="D19" s="15"/>
      <c r="E19" s="15"/>
      <c r="F19" s="15"/>
      <c r="G19" s="15"/>
      <c r="H19" s="15"/>
    </row>
    <row r="20" spans="1:8" ht="21.75" customHeight="1">
      <c r="A20" s="13"/>
      <c r="B20" s="13"/>
      <c r="C20" s="13"/>
      <c r="D20" s="13"/>
      <c r="E20" s="13"/>
      <c r="F20" s="13"/>
      <c r="G20" s="13"/>
      <c r="H20" s="13"/>
    </row>
    <row r="21" spans="1:8" ht="21.75" customHeight="1">
      <c r="A21" s="20" t="s">
        <v>403</v>
      </c>
      <c r="B21" s="75" t="s">
        <v>404</v>
      </c>
      <c r="C21" s="74"/>
      <c r="D21" s="74"/>
      <c r="E21" s="74"/>
      <c r="F21" s="74"/>
      <c r="G21" s="74"/>
      <c r="H21" s="74"/>
    </row>
    <row r="22" spans="1:8" ht="21.75" customHeight="1">
      <c r="A22" s="21" t="s">
        <v>405</v>
      </c>
      <c r="B22" s="73" t="s">
        <v>406</v>
      </c>
      <c r="C22" s="74"/>
      <c r="D22" s="74"/>
      <c r="E22" s="74"/>
      <c r="F22" s="74"/>
      <c r="G22" s="74"/>
      <c r="H22" s="74"/>
    </row>
    <row r="23" spans="1:8" ht="21.75" customHeight="1">
      <c r="A23" s="20" t="s">
        <v>407</v>
      </c>
      <c r="B23" s="75" t="s">
        <v>408</v>
      </c>
      <c r="C23" s="74"/>
      <c r="D23" s="74"/>
      <c r="E23" s="74"/>
      <c r="F23" s="74"/>
      <c r="G23" s="74"/>
      <c r="H23" s="74"/>
    </row>
    <row r="24" spans="1:8" ht="21.75" customHeight="1">
      <c r="A24" s="21" t="s">
        <v>409</v>
      </c>
      <c r="B24" s="73" t="s">
        <v>410</v>
      </c>
      <c r="C24" s="74"/>
      <c r="D24" s="74"/>
      <c r="E24" s="74"/>
      <c r="F24" s="74"/>
      <c r="G24" s="74"/>
      <c r="H24" s="74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5A5A5"/>
  </sheetPr>
  <dimension ref="A1:F14"/>
  <sheetViews>
    <sheetView showGridLines="0" zoomScaleNormal="100" workbookViewId="0"/>
  </sheetViews>
  <sheetFormatPr baseColWidth="10" defaultColWidth="8.6640625" defaultRowHeight="15" customHeight="1"/>
  <cols>
    <col min="1" max="1" width="22" customWidth="1"/>
    <col min="2" max="3" width="28" customWidth="1"/>
    <col min="4" max="6" width="18" customWidth="1"/>
  </cols>
  <sheetData>
    <row r="1" spans="1:6" ht="18" customHeight="1">
      <c r="A1" s="78" t="s">
        <v>411</v>
      </c>
      <c r="B1" s="62"/>
      <c r="C1" s="62"/>
      <c r="D1" s="62"/>
      <c r="E1" s="62"/>
      <c r="F1" s="62"/>
    </row>
    <row r="3" spans="1:6" ht="16.5" customHeight="1">
      <c r="A3" s="22" t="s">
        <v>412</v>
      </c>
      <c r="B3" s="23"/>
      <c r="C3" s="23"/>
      <c r="D3" s="23"/>
      <c r="E3" s="23"/>
      <c r="F3" s="23"/>
    </row>
    <row r="4" spans="1:6" ht="60" customHeight="1">
      <c r="A4" s="23" t="s">
        <v>413</v>
      </c>
      <c r="B4" s="23"/>
      <c r="C4" s="23"/>
      <c r="D4" s="23"/>
      <c r="E4" s="23"/>
      <c r="F4" s="23"/>
    </row>
    <row r="5" spans="1:6" ht="15" customHeight="1">
      <c r="A5" s="23"/>
      <c r="B5" s="23"/>
      <c r="C5" s="23"/>
      <c r="D5" s="23"/>
      <c r="E5" s="23"/>
      <c r="F5" s="23"/>
    </row>
    <row r="6" spans="1:6" ht="16.5" customHeight="1">
      <c r="A6" s="22" t="s">
        <v>414</v>
      </c>
      <c r="B6" s="23"/>
      <c r="C6" s="23"/>
      <c r="D6" s="23"/>
      <c r="E6" s="23"/>
      <c r="F6" s="23"/>
    </row>
    <row r="7" spans="1:6" ht="79.5" customHeight="1">
      <c r="A7" s="24" t="s">
        <v>415</v>
      </c>
      <c r="B7" s="23"/>
      <c r="C7" s="23"/>
      <c r="D7" s="23"/>
      <c r="E7" s="23"/>
      <c r="F7" s="23"/>
    </row>
    <row r="8" spans="1:6" ht="15" customHeight="1">
      <c r="A8" s="23"/>
      <c r="B8" s="23"/>
      <c r="C8" s="23"/>
      <c r="D8" s="23"/>
      <c r="E8" s="23"/>
      <c r="F8" s="23"/>
    </row>
    <row r="9" spans="1:6" ht="16.5" customHeight="1">
      <c r="A9" s="22" t="s">
        <v>416</v>
      </c>
      <c r="B9" s="23"/>
      <c r="C9" s="23"/>
      <c r="D9" s="23"/>
      <c r="E9" s="23"/>
      <c r="F9" s="23"/>
    </row>
    <row r="10" spans="1:6" ht="63.75" customHeight="1">
      <c r="A10" s="24" t="s">
        <v>417</v>
      </c>
      <c r="B10" s="23"/>
      <c r="C10" s="23"/>
      <c r="D10" s="23"/>
      <c r="E10" s="23"/>
      <c r="F10" s="23"/>
    </row>
    <row r="12" spans="1:6" ht="28">
      <c r="A12" s="60" t="s">
        <v>418</v>
      </c>
      <c r="B12" s="52" t="s">
        <v>419</v>
      </c>
    </row>
    <row r="13" spans="1:6" ht="42">
      <c r="A13" s="60" t="s">
        <v>420</v>
      </c>
      <c r="B13" s="52" t="s">
        <v>421</v>
      </c>
    </row>
    <row r="14" spans="1:6" ht="42">
      <c r="A14" s="60" t="s">
        <v>422</v>
      </c>
      <c r="B14" s="52" t="s">
        <v>423</v>
      </c>
    </row>
  </sheetData>
  <mergeCells count="1">
    <mergeCell ref="A1:F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AD47"/>
  </sheetPr>
  <dimension ref="A1:F15"/>
  <sheetViews>
    <sheetView showGridLines="0" zoomScaleNormal="100" workbookViewId="0"/>
  </sheetViews>
  <sheetFormatPr baseColWidth="10" defaultColWidth="8.6640625" defaultRowHeight="15" customHeight="1"/>
  <cols>
    <col min="1" max="1" width="12" customWidth="1"/>
    <col min="2" max="2" width="24" customWidth="1"/>
    <col min="3" max="3" width="18" customWidth="1"/>
    <col min="4" max="4" width="10" customWidth="1"/>
    <col min="5" max="5" width="46" customWidth="1"/>
    <col min="6" max="6" width="16" customWidth="1"/>
  </cols>
  <sheetData>
    <row r="1" spans="1:6" ht="15" customHeight="1">
      <c r="A1" s="25" t="s">
        <v>32</v>
      </c>
      <c r="B1" s="25" t="s">
        <v>424</v>
      </c>
      <c r="C1" s="25" t="s">
        <v>425</v>
      </c>
      <c r="D1" s="25" t="s">
        <v>426</v>
      </c>
      <c r="E1" s="25" t="s">
        <v>427</v>
      </c>
      <c r="F1" s="25" t="s">
        <v>428</v>
      </c>
    </row>
    <row r="2" spans="1:6" ht="32.25" customHeight="1">
      <c r="A2" s="26" t="s">
        <v>41</v>
      </c>
      <c r="B2" s="27" t="s">
        <v>329</v>
      </c>
      <c r="C2" s="26" t="s">
        <v>330</v>
      </c>
      <c r="D2" s="26">
        <v>12</v>
      </c>
      <c r="E2" s="27" t="s">
        <v>429</v>
      </c>
      <c r="F2" s="26" t="s">
        <v>304</v>
      </c>
    </row>
    <row r="3" spans="1:6" ht="34.5" customHeight="1">
      <c r="A3" s="26" t="s">
        <v>70</v>
      </c>
      <c r="B3" s="27" t="s">
        <v>336</v>
      </c>
      <c r="C3" s="26" t="s">
        <v>330</v>
      </c>
      <c r="D3" s="26">
        <v>11</v>
      </c>
      <c r="E3" s="26" t="s">
        <v>430</v>
      </c>
      <c r="F3" s="26" t="s">
        <v>431</v>
      </c>
    </row>
    <row r="4" spans="1:6" ht="32.25" customHeight="1">
      <c r="A4" s="26" t="s">
        <v>95</v>
      </c>
      <c r="B4" s="27" t="s">
        <v>342</v>
      </c>
      <c r="C4" s="26" t="s">
        <v>330</v>
      </c>
      <c r="D4" s="26">
        <v>10</v>
      </c>
      <c r="E4" s="27" t="s">
        <v>432</v>
      </c>
      <c r="F4" s="26" t="s">
        <v>82</v>
      </c>
    </row>
    <row r="5" spans="1:6" ht="23.25" customHeight="1">
      <c r="A5" s="26" t="s">
        <v>109</v>
      </c>
      <c r="B5" s="27" t="s">
        <v>348</v>
      </c>
      <c r="C5" s="26" t="s">
        <v>330</v>
      </c>
      <c r="D5" s="26">
        <v>10</v>
      </c>
      <c r="E5" s="27" t="s">
        <v>433</v>
      </c>
      <c r="F5" s="26" t="s">
        <v>315</v>
      </c>
    </row>
    <row r="6" spans="1:6" ht="23.25" customHeight="1">
      <c r="A6" s="26" t="s">
        <v>125</v>
      </c>
      <c r="B6" s="27" t="s">
        <v>353</v>
      </c>
      <c r="C6" s="26" t="s">
        <v>330</v>
      </c>
      <c r="D6" s="26">
        <v>8</v>
      </c>
      <c r="E6" s="27" t="s">
        <v>434</v>
      </c>
      <c r="F6" s="26" t="s">
        <v>264</v>
      </c>
    </row>
    <row r="7" spans="1:6" ht="16.5" customHeight="1">
      <c r="A7" s="26" t="s">
        <v>139</v>
      </c>
      <c r="B7" s="27" t="s">
        <v>358</v>
      </c>
      <c r="C7" s="26" t="s">
        <v>330</v>
      </c>
      <c r="D7" s="26">
        <v>6</v>
      </c>
      <c r="E7" s="27" t="s">
        <v>435</v>
      </c>
      <c r="F7" s="26" t="s">
        <v>199</v>
      </c>
    </row>
    <row r="8" spans="1:6" ht="16.5" customHeight="1">
      <c r="A8" s="26" t="s">
        <v>156</v>
      </c>
      <c r="B8" s="27" t="s">
        <v>363</v>
      </c>
      <c r="C8" s="26" t="s">
        <v>364</v>
      </c>
      <c r="D8" s="26">
        <v>6</v>
      </c>
      <c r="E8" s="26" t="s">
        <v>436</v>
      </c>
      <c r="F8" s="26" t="s">
        <v>304</v>
      </c>
    </row>
    <row r="9" spans="1:6" ht="16.5" customHeight="1">
      <c r="A9" s="26" t="s">
        <v>167</v>
      </c>
      <c r="B9" s="27" t="s">
        <v>368</v>
      </c>
      <c r="C9" s="26" t="s">
        <v>437</v>
      </c>
      <c r="D9" s="26">
        <v>7</v>
      </c>
      <c r="E9" s="26" t="s">
        <v>438</v>
      </c>
      <c r="F9" s="26" t="s">
        <v>284</v>
      </c>
    </row>
    <row r="10" spans="1:6" ht="16.5" customHeight="1">
      <c r="A10" s="26" t="s">
        <v>179</v>
      </c>
      <c r="B10" s="27" t="s">
        <v>373</v>
      </c>
      <c r="C10" s="26" t="s">
        <v>437</v>
      </c>
      <c r="D10" s="26">
        <v>8</v>
      </c>
      <c r="E10" s="27" t="s">
        <v>439</v>
      </c>
      <c r="F10" s="26" t="s">
        <v>440</v>
      </c>
    </row>
    <row r="11" spans="1:6" ht="16.5" customHeight="1">
      <c r="A11" s="26" t="s">
        <v>192</v>
      </c>
      <c r="B11" s="27" t="s">
        <v>377</v>
      </c>
      <c r="C11" s="26" t="s">
        <v>330</v>
      </c>
      <c r="D11" s="26">
        <v>6</v>
      </c>
      <c r="E11" s="27" t="s">
        <v>441</v>
      </c>
      <c r="F11" s="26" t="s">
        <v>199</v>
      </c>
    </row>
    <row r="12" spans="1:6" ht="32.25" customHeight="1">
      <c r="A12" s="26" t="s">
        <v>205</v>
      </c>
      <c r="B12" s="27" t="s">
        <v>381</v>
      </c>
      <c r="C12" s="26" t="s">
        <v>442</v>
      </c>
      <c r="D12" s="26">
        <v>5</v>
      </c>
      <c r="E12" s="27" t="s">
        <v>443</v>
      </c>
      <c r="F12" s="26" t="s">
        <v>284</v>
      </c>
    </row>
    <row r="13" spans="1:6" ht="23.25" customHeight="1">
      <c r="A13" s="26" t="s">
        <v>218</v>
      </c>
      <c r="B13" s="27" t="s">
        <v>387</v>
      </c>
      <c r="C13" s="26" t="s">
        <v>388</v>
      </c>
      <c r="D13" s="26">
        <v>6</v>
      </c>
      <c r="E13" s="27" t="s">
        <v>444</v>
      </c>
      <c r="F13" s="26" t="s">
        <v>315</v>
      </c>
    </row>
    <row r="14" spans="1:6" ht="16.5" customHeight="1">
      <c r="A14" s="26" t="s">
        <v>227</v>
      </c>
      <c r="B14" s="26" t="s">
        <v>445</v>
      </c>
      <c r="C14" s="26" t="s">
        <v>446</v>
      </c>
      <c r="D14" s="26">
        <v>4</v>
      </c>
      <c r="E14" s="27" t="s">
        <v>447</v>
      </c>
      <c r="F14" s="26" t="s">
        <v>75</v>
      </c>
    </row>
    <row r="15" spans="1:6" ht="32.25" customHeight="1">
      <c r="A15" s="26" t="s">
        <v>240</v>
      </c>
      <c r="B15" s="27" t="s">
        <v>448</v>
      </c>
      <c r="C15" s="26" t="s">
        <v>446</v>
      </c>
      <c r="D15" s="26">
        <v>1</v>
      </c>
      <c r="E15" s="27" t="s">
        <v>449</v>
      </c>
      <c r="F15" s="26" t="s">
        <v>304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T46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5" customHeight="1"/>
  <cols>
    <col min="1" max="1" width="18" customWidth="1"/>
    <col min="2" max="2" width="8" customWidth="1"/>
    <col min="3" max="3" width="28" customWidth="1"/>
    <col min="4" max="4" width="9" customWidth="1"/>
    <col min="5" max="5" width="11" customWidth="1"/>
    <col min="6" max="6" width="18" customWidth="1"/>
    <col min="7" max="7" width="28" customWidth="1"/>
    <col min="8" max="8" width="18" customWidth="1"/>
    <col min="9" max="10" width="12" customWidth="1"/>
    <col min="11" max="18" width="10" customWidth="1"/>
    <col min="19" max="19" width="12" customWidth="1"/>
    <col min="20" max="20" width="30" customWidth="1"/>
  </cols>
  <sheetData>
    <row r="1" spans="1:20" ht="27.75" customHeight="1">
      <c r="A1" s="28" t="s">
        <v>31</v>
      </c>
      <c r="B1" s="28" t="s">
        <v>32</v>
      </c>
      <c r="C1" s="28" t="s">
        <v>33</v>
      </c>
      <c r="D1" s="28" t="s">
        <v>450</v>
      </c>
      <c r="E1" s="28" t="s">
        <v>451</v>
      </c>
      <c r="F1" s="28" t="s">
        <v>254</v>
      </c>
      <c r="G1" s="28" t="s">
        <v>452</v>
      </c>
      <c r="H1" s="28" t="s">
        <v>453</v>
      </c>
      <c r="I1" s="28" t="s">
        <v>454</v>
      </c>
      <c r="J1" s="28" t="s">
        <v>455</v>
      </c>
      <c r="K1" s="28" t="s">
        <v>456</v>
      </c>
      <c r="L1" s="28" t="s">
        <v>457</v>
      </c>
      <c r="M1" s="28" t="s">
        <v>458</v>
      </c>
      <c r="N1" s="28" t="s">
        <v>459</v>
      </c>
      <c r="O1" s="28" t="s">
        <v>460</v>
      </c>
      <c r="P1" s="28" t="s">
        <v>461</v>
      </c>
      <c r="Q1" s="28" t="s">
        <v>462</v>
      </c>
      <c r="R1" s="28" t="s">
        <v>463</v>
      </c>
      <c r="S1" s="28" t="s">
        <v>464</v>
      </c>
      <c r="T1" s="28" t="s">
        <v>465</v>
      </c>
    </row>
    <row r="2" spans="1:20" ht="32.25" customHeight="1">
      <c r="A2" s="15" t="s">
        <v>40</v>
      </c>
      <c r="B2" s="15" t="s">
        <v>41</v>
      </c>
      <c r="C2" s="15" t="s">
        <v>42</v>
      </c>
      <c r="D2" s="15" t="s">
        <v>47</v>
      </c>
      <c r="E2" s="15" t="s">
        <v>46</v>
      </c>
      <c r="F2" s="15" t="s">
        <v>43</v>
      </c>
      <c r="G2" s="15" t="s">
        <v>45</v>
      </c>
      <c r="H2" s="15" t="s">
        <v>44</v>
      </c>
      <c r="I2" s="15" t="s">
        <v>466</v>
      </c>
      <c r="J2" s="15" t="s">
        <v>467</v>
      </c>
      <c r="K2" s="15">
        <v>150</v>
      </c>
      <c r="L2" s="15">
        <v>-200</v>
      </c>
      <c r="M2" s="15"/>
      <c r="N2" s="15"/>
      <c r="O2" s="15"/>
      <c r="P2" s="15"/>
      <c r="Q2" s="15"/>
      <c r="R2" s="15"/>
      <c r="S2" s="15">
        <v>0.4</v>
      </c>
      <c r="T2" s="7" t="s">
        <v>468</v>
      </c>
    </row>
    <row r="3" spans="1:20" ht="23.25" customHeight="1">
      <c r="A3" s="15" t="s">
        <v>49</v>
      </c>
      <c r="B3" s="15" t="s">
        <v>41</v>
      </c>
      <c r="C3" s="15" t="s">
        <v>50</v>
      </c>
      <c r="D3" s="15" t="s">
        <v>53</v>
      </c>
      <c r="E3" s="15" t="s">
        <v>46</v>
      </c>
      <c r="F3" s="15" t="s">
        <v>51</v>
      </c>
      <c r="G3" s="15" t="s">
        <v>52</v>
      </c>
      <c r="H3" s="15" t="s">
        <v>49</v>
      </c>
      <c r="I3" s="15" t="s">
        <v>466</v>
      </c>
      <c r="J3" s="15" t="s">
        <v>366</v>
      </c>
      <c r="K3" s="15">
        <v>0.5</v>
      </c>
      <c r="L3" s="15">
        <v>7</v>
      </c>
      <c r="M3" s="15"/>
      <c r="N3" s="15"/>
      <c r="O3" s="15"/>
      <c r="P3" s="15"/>
      <c r="Q3" s="15">
        <v>0</v>
      </c>
      <c r="R3" s="15">
        <v>15</v>
      </c>
      <c r="S3" s="15">
        <v>0.25</v>
      </c>
      <c r="T3" s="7" t="s">
        <v>469</v>
      </c>
    </row>
    <row r="4" spans="1:20" ht="32.25" customHeight="1">
      <c r="A4" s="15" t="s">
        <v>54</v>
      </c>
      <c r="B4" s="15" t="s">
        <v>41</v>
      </c>
      <c r="C4" s="7" t="s">
        <v>55</v>
      </c>
      <c r="D4" s="15" t="s">
        <v>60</v>
      </c>
      <c r="E4" s="15" t="s">
        <v>59</v>
      </c>
      <c r="F4" s="15" t="s">
        <v>56</v>
      </c>
      <c r="G4" s="15" t="s">
        <v>58</v>
      </c>
      <c r="H4" s="15" t="s">
        <v>57</v>
      </c>
      <c r="I4" s="15" t="s">
        <v>466</v>
      </c>
      <c r="J4" s="15" t="s">
        <v>366</v>
      </c>
      <c r="K4" s="15">
        <v>5</v>
      </c>
      <c r="L4" s="15">
        <v>9</v>
      </c>
      <c r="M4" s="15"/>
      <c r="N4" s="15"/>
      <c r="O4" s="15"/>
      <c r="P4" s="15"/>
      <c r="Q4" s="15"/>
      <c r="R4" s="15"/>
      <c r="S4" s="15">
        <v>0.15</v>
      </c>
      <c r="T4" s="7" t="s">
        <v>470</v>
      </c>
    </row>
    <row r="5" spans="1:20" ht="32.25" customHeight="1">
      <c r="A5" s="15" t="s">
        <v>61</v>
      </c>
      <c r="B5" s="15" t="s">
        <v>41</v>
      </c>
      <c r="C5" s="7" t="s">
        <v>62</v>
      </c>
      <c r="D5" s="15" t="s">
        <v>66</v>
      </c>
      <c r="E5" s="15" t="s">
        <v>59</v>
      </c>
      <c r="F5" s="15" t="s">
        <v>164</v>
      </c>
      <c r="G5" s="15" t="s">
        <v>471</v>
      </c>
      <c r="H5" s="15" t="s">
        <v>165</v>
      </c>
      <c r="I5" s="15" t="s">
        <v>466</v>
      </c>
      <c r="J5" s="15" t="s">
        <v>467</v>
      </c>
      <c r="K5" s="15">
        <v>1</v>
      </c>
      <c r="L5" s="15">
        <v>-1</v>
      </c>
      <c r="M5" s="15"/>
      <c r="N5" s="15"/>
      <c r="O5" s="15"/>
      <c r="P5" s="15"/>
      <c r="Q5" s="15"/>
      <c r="R5" s="15"/>
      <c r="S5" s="15">
        <v>0.2</v>
      </c>
      <c r="T5" s="7" t="s">
        <v>472</v>
      </c>
    </row>
    <row r="6" spans="1:20" ht="32.25" customHeight="1">
      <c r="A6" s="15" t="s">
        <v>69</v>
      </c>
      <c r="B6" s="15" t="s">
        <v>70</v>
      </c>
      <c r="C6" s="7" t="s">
        <v>71</v>
      </c>
      <c r="D6" s="15" t="s">
        <v>53</v>
      </c>
      <c r="E6" s="15" t="s">
        <v>75</v>
      </c>
      <c r="F6" s="15" t="s">
        <v>72</v>
      </c>
      <c r="G6" s="15" t="s">
        <v>270</v>
      </c>
      <c r="H6" s="15" t="s">
        <v>73</v>
      </c>
      <c r="I6" s="15" t="s">
        <v>473</v>
      </c>
      <c r="J6" s="15" t="s">
        <v>474</v>
      </c>
      <c r="K6" s="15"/>
      <c r="L6" s="15"/>
      <c r="M6" s="15">
        <v>-2</v>
      </c>
      <c r="N6" s="15">
        <v>1.5</v>
      </c>
      <c r="O6" s="15">
        <v>3</v>
      </c>
      <c r="P6" s="15">
        <v>5</v>
      </c>
      <c r="Q6" s="15"/>
      <c r="R6" s="15"/>
      <c r="S6" s="15">
        <v>0.3</v>
      </c>
      <c r="T6" s="7" t="s">
        <v>475</v>
      </c>
    </row>
    <row r="7" spans="1:20" ht="32.25" customHeight="1">
      <c r="A7" s="15" t="s">
        <v>77</v>
      </c>
      <c r="B7" s="15" t="s">
        <v>70</v>
      </c>
      <c r="C7" s="7" t="s">
        <v>78</v>
      </c>
      <c r="D7" s="15" t="s">
        <v>66</v>
      </c>
      <c r="E7" s="15" t="s">
        <v>82</v>
      </c>
      <c r="F7" s="15" t="s">
        <v>79</v>
      </c>
      <c r="G7" s="15" t="s">
        <v>476</v>
      </c>
      <c r="H7" s="15" t="s">
        <v>80</v>
      </c>
      <c r="I7" s="15" t="s">
        <v>473</v>
      </c>
      <c r="J7" s="15" t="s">
        <v>474</v>
      </c>
      <c r="K7" s="15"/>
      <c r="L7" s="15"/>
      <c r="M7" s="15">
        <v>45</v>
      </c>
      <c r="N7" s="15">
        <v>50</v>
      </c>
      <c r="O7" s="15">
        <v>55</v>
      </c>
      <c r="P7" s="15">
        <v>60</v>
      </c>
      <c r="Q7" s="15"/>
      <c r="R7" s="15"/>
      <c r="S7" s="15">
        <v>0.25</v>
      </c>
      <c r="T7" s="15" t="s">
        <v>477</v>
      </c>
    </row>
    <row r="8" spans="1:20" ht="23.25" customHeight="1">
      <c r="A8" s="15" t="s">
        <v>84</v>
      </c>
      <c r="B8" s="15" t="s">
        <v>70</v>
      </c>
      <c r="C8" s="7" t="s">
        <v>85</v>
      </c>
      <c r="D8" s="15" t="s">
        <v>88</v>
      </c>
      <c r="E8" s="15" t="s">
        <v>59</v>
      </c>
      <c r="F8" s="15" t="s">
        <v>74</v>
      </c>
      <c r="G8" s="15" t="s">
        <v>87</v>
      </c>
      <c r="H8" s="15" t="s">
        <v>86</v>
      </c>
      <c r="I8" s="15" t="s">
        <v>466</v>
      </c>
      <c r="J8" s="15" t="s">
        <v>366</v>
      </c>
      <c r="K8" s="15">
        <v>180</v>
      </c>
      <c r="L8" s="15">
        <v>400</v>
      </c>
      <c r="M8" s="15"/>
      <c r="N8" s="15"/>
      <c r="O8" s="15"/>
      <c r="P8" s="15"/>
      <c r="Q8" s="15"/>
      <c r="R8" s="15"/>
      <c r="S8" s="15">
        <v>0.25</v>
      </c>
      <c r="T8" s="7" t="s">
        <v>478</v>
      </c>
    </row>
    <row r="9" spans="1:20" ht="23.25" customHeight="1">
      <c r="A9" s="15" t="s">
        <v>89</v>
      </c>
      <c r="B9" s="15" t="s">
        <v>70</v>
      </c>
      <c r="C9" s="7" t="s">
        <v>90</v>
      </c>
      <c r="D9" s="15" t="s">
        <v>53</v>
      </c>
      <c r="E9" s="15" t="s">
        <v>82</v>
      </c>
      <c r="F9" s="15" t="s">
        <v>91</v>
      </c>
      <c r="G9" s="15" t="s">
        <v>93</v>
      </c>
      <c r="H9" s="15" t="s">
        <v>92</v>
      </c>
      <c r="I9" s="15" t="s">
        <v>466</v>
      </c>
      <c r="J9" s="15" t="s">
        <v>467</v>
      </c>
      <c r="K9" s="15">
        <v>5</v>
      </c>
      <c r="L9" s="15">
        <v>-10</v>
      </c>
      <c r="M9" s="15"/>
      <c r="N9" s="15"/>
      <c r="O9" s="15"/>
      <c r="P9" s="15"/>
      <c r="Q9" s="15"/>
      <c r="R9" s="15"/>
      <c r="S9" s="15">
        <v>0.2</v>
      </c>
      <c r="T9" s="7" t="s">
        <v>479</v>
      </c>
    </row>
    <row r="10" spans="1:20" ht="32.25" customHeight="1">
      <c r="A10" s="15" t="s">
        <v>94</v>
      </c>
      <c r="B10" s="15" t="s">
        <v>95</v>
      </c>
      <c r="C10" s="7" t="s">
        <v>96</v>
      </c>
      <c r="D10" s="15" t="s">
        <v>53</v>
      </c>
      <c r="E10" s="15" t="s">
        <v>82</v>
      </c>
      <c r="F10" s="15" t="s">
        <v>97</v>
      </c>
      <c r="G10" s="15" t="s">
        <v>99</v>
      </c>
      <c r="H10" s="15" t="s">
        <v>98</v>
      </c>
      <c r="I10" s="15" t="s">
        <v>473</v>
      </c>
      <c r="J10" s="15" t="s">
        <v>474</v>
      </c>
      <c r="K10" s="15"/>
      <c r="L10" s="15"/>
      <c r="M10" s="15">
        <v>0.5</v>
      </c>
      <c r="N10" s="15">
        <v>2</v>
      </c>
      <c r="O10" s="15">
        <v>2.7</v>
      </c>
      <c r="P10" s="15">
        <v>5</v>
      </c>
      <c r="Q10" s="15"/>
      <c r="R10" s="15"/>
      <c r="S10" s="15">
        <v>0.35</v>
      </c>
      <c r="T10" s="7" t="s">
        <v>480</v>
      </c>
    </row>
    <row r="11" spans="1:20" ht="23.25" customHeight="1">
      <c r="A11" s="15" t="s">
        <v>100</v>
      </c>
      <c r="B11" s="15" t="s">
        <v>95</v>
      </c>
      <c r="C11" s="7" t="s">
        <v>101</v>
      </c>
      <c r="D11" s="15" t="s">
        <v>53</v>
      </c>
      <c r="E11" s="15" t="s">
        <v>82</v>
      </c>
      <c r="F11" s="15" t="s">
        <v>102</v>
      </c>
      <c r="G11" s="15" t="s">
        <v>481</v>
      </c>
      <c r="H11" s="15" t="s">
        <v>103</v>
      </c>
      <c r="I11" s="15" t="s">
        <v>473</v>
      </c>
      <c r="J11" s="15" t="s">
        <v>474</v>
      </c>
      <c r="K11" s="15"/>
      <c r="L11" s="15"/>
      <c r="M11" s="15">
        <v>0.5</v>
      </c>
      <c r="N11" s="15">
        <v>1.8</v>
      </c>
      <c r="O11" s="15">
        <v>2.5</v>
      </c>
      <c r="P11" s="15">
        <v>4.5</v>
      </c>
      <c r="Q11" s="15"/>
      <c r="R11" s="15"/>
      <c r="S11" s="15">
        <v>0.35</v>
      </c>
      <c r="T11" s="7" t="s">
        <v>482</v>
      </c>
    </row>
    <row r="12" spans="1:20" ht="23.25" customHeight="1">
      <c r="A12" s="15" t="s">
        <v>104</v>
      </c>
      <c r="B12" s="15" t="s">
        <v>95</v>
      </c>
      <c r="C12" s="15" t="s">
        <v>105</v>
      </c>
      <c r="D12" s="15" t="s">
        <v>53</v>
      </c>
      <c r="E12" s="15" t="s">
        <v>46</v>
      </c>
      <c r="F12" s="15" t="s">
        <v>74</v>
      </c>
      <c r="G12" s="15" t="s">
        <v>107</v>
      </c>
      <c r="H12" s="15" t="s">
        <v>106</v>
      </c>
      <c r="I12" s="15" t="s">
        <v>473</v>
      </c>
      <c r="J12" s="15" t="s">
        <v>474</v>
      </c>
      <c r="K12" s="15"/>
      <c r="L12" s="15"/>
      <c r="M12" s="15">
        <v>0.5</v>
      </c>
      <c r="N12" s="15">
        <v>2</v>
      </c>
      <c r="O12" s="15">
        <v>2.6</v>
      </c>
      <c r="P12" s="15">
        <v>3.5</v>
      </c>
      <c r="Q12" s="15"/>
      <c r="R12" s="15"/>
      <c r="S12" s="15">
        <v>0.3</v>
      </c>
      <c r="T12" s="7" t="s">
        <v>483</v>
      </c>
    </row>
    <row r="13" spans="1:20" ht="32.25" customHeight="1">
      <c r="A13" s="15" t="s">
        <v>108</v>
      </c>
      <c r="B13" s="15" t="s">
        <v>109</v>
      </c>
      <c r="C13" s="7" t="s">
        <v>110</v>
      </c>
      <c r="D13" s="15" t="s">
        <v>53</v>
      </c>
      <c r="E13" s="15" t="s">
        <v>82</v>
      </c>
      <c r="F13" s="15" t="s">
        <v>97</v>
      </c>
      <c r="G13" s="15" t="s">
        <v>111</v>
      </c>
      <c r="H13" s="15" t="s">
        <v>108</v>
      </c>
      <c r="I13" s="15" t="s">
        <v>473</v>
      </c>
      <c r="J13" s="15" t="s">
        <v>474</v>
      </c>
      <c r="K13" s="15"/>
      <c r="L13" s="15"/>
      <c r="M13" s="15">
        <v>2.5</v>
      </c>
      <c r="N13" s="15">
        <v>3.5</v>
      </c>
      <c r="O13" s="15">
        <v>4.5</v>
      </c>
      <c r="P13" s="15">
        <v>7</v>
      </c>
      <c r="Q13" s="15"/>
      <c r="R13" s="15"/>
      <c r="S13" s="15">
        <v>0.35</v>
      </c>
      <c r="T13" s="7" t="s">
        <v>484</v>
      </c>
    </row>
    <row r="14" spans="1:20" ht="23.25" customHeight="1">
      <c r="A14" s="15" t="s">
        <v>112</v>
      </c>
      <c r="B14" s="15" t="s">
        <v>109</v>
      </c>
      <c r="C14" s="7" t="s">
        <v>113</v>
      </c>
      <c r="D14" s="15" t="s">
        <v>53</v>
      </c>
      <c r="E14" s="15" t="s">
        <v>82</v>
      </c>
      <c r="F14" s="15" t="s">
        <v>97</v>
      </c>
      <c r="G14" s="15" t="s">
        <v>115</v>
      </c>
      <c r="H14" s="15" t="s">
        <v>114</v>
      </c>
      <c r="I14" s="15" t="s">
        <v>473</v>
      </c>
      <c r="J14" s="15" t="s">
        <v>474</v>
      </c>
      <c r="K14" s="15"/>
      <c r="L14" s="15"/>
      <c r="M14" s="15">
        <v>0.5</v>
      </c>
      <c r="N14" s="15">
        <v>3</v>
      </c>
      <c r="O14" s="15">
        <v>4</v>
      </c>
      <c r="P14" s="15">
        <v>6</v>
      </c>
      <c r="Q14" s="15"/>
      <c r="R14" s="15"/>
      <c r="S14" s="15">
        <v>0.25</v>
      </c>
      <c r="T14" s="7" t="s">
        <v>485</v>
      </c>
    </row>
    <row r="15" spans="1:20" ht="23.25" customHeight="1">
      <c r="A15" s="15" t="s">
        <v>116</v>
      </c>
      <c r="B15" s="15" t="s">
        <v>109</v>
      </c>
      <c r="C15" s="7" t="s">
        <v>117</v>
      </c>
      <c r="D15" s="15" t="s">
        <v>53</v>
      </c>
      <c r="E15" s="15" t="s">
        <v>75</v>
      </c>
      <c r="F15" s="15" t="s">
        <v>74</v>
      </c>
      <c r="G15" s="15" t="s">
        <v>119</v>
      </c>
      <c r="H15" s="15" t="s">
        <v>118</v>
      </c>
      <c r="I15" s="15" t="s">
        <v>466</v>
      </c>
      <c r="J15" s="15" t="s">
        <v>366</v>
      </c>
      <c r="K15" s="15">
        <v>1.5</v>
      </c>
      <c r="L15" s="15">
        <v>5</v>
      </c>
      <c r="M15" s="15"/>
      <c r="N15" s="15"/>
      <c r="O15" s="15"/>
      <c r="P15" s="15"/>
      <c r="Q15" s="15"/>
      <c r="R15" s="15"/>
      <c r="S15" s="15">
        <v>0.25</v>
      </c>
      <c r="T15" s="7" t="s">
        <v>486</v>
      </c>
    </row>
    <row r="16" spans="1:20" ht="23.25" customHeight="1">
      <c r="A16" s="15" t="s">
        <v>120</v>
      </c>
      <c r="B16" s="15" t="s">
        <v>109</v>
      </c>
      <c r="C16" s="7" t="s">
        <v>121</v>
      </c>
      <c r="D16" s="15" t="s">
        <v>53</v>
      </c>
      <c r="E16" s="15" t="s">
        <v>82</v>
      </c>
      <c r="F16" s="15" t="s">
        <v>102</v>
      </c>
      <c r="G16" s="15" t="s">
        <v>123</v>
      </c>
      <c r="H16" s="15" t="s">
        <v>122</v>
      </c>
      <c r="I16" s="15" t="s">
        <v>466</v>
      </c>
      <c r="J16" s="15" t="s">
        <v>467</v>
      </c>
      <c r="K16" s="15">
        <v>4</v>
      </c>
      <c r="L16" s="15">
        <v>-4</v>
      </c>
      <c r="M16" s="15"/>
      <c r="N16" s="15"/>
      <c r="O16" s="15"/>
      <c r="P16" s="15"/>
      <c r="Q16" s="15"/>
      <c r="R16" s="15"/>
      <c r="S16" s="15">
        <v>0.15</v>
      </c>
      <c r="T16" s="7" t="s">
        <v>487</v>
      </c>
    </row>
    <row r="17" spans="1:20" ht="32.25" customHeight="1">
      <c r="A17" s="15" t="s">
        <v>124</v>
      </c>
      <c r="B17" s="15" t="s">
        <v>125</v>
      </c>
      <c r="C17" s="7" t="s">
        <v>126</v>
      </c>
      <c r="D17" s="15" t="s">
        <v>129</v>
      </c>
      <c r="E17" s="15" t="s">
        <v>59</v>
      </c>
      <c r="F17" s="15" t="s">
        <v>127</v>
      </c>
      <c r="G17" s="15" t="s">
        <v>488</v>
      </c>
      <c r="H17" s="15" t="s">
        <v>128</v>
      </c>
      <c r="I17" s="15" t="s">
        <v>466</v>
      </c>
      <c r="J17" s="15" t="s">
        <v>366</v>
      </c>
      <c r="K17" s="15">
        <v>14</v>
      </c>
      <c r="L17" s="15">
        <v>28</v>
      </c>
      <c r="M17" s="15"/>
      <c r="N17" s="15"/>
      <c r="O17" s="15"/>
      <c r="P17" s="15"/>
      <c r="Q17" s="15"/>
      <c r="R17" s="15"/>
      <c r="S17" s="15">
        <v>0.3</v>
      </c>
      <c r="T17" s="7" t="s">
        <v>489</v>
      </c>
    </row>
    <row r="18" spans="1:20" ht="32.25" customHeight="1">
      <c r="A18" s="15" t="s">
        <v>130</v>
      </c>
      <c r="B18" s="15" t="s">
        <v>125</v>
      </c>
      <c r="C18" s="15" t="s">
        <v>131</v>
      </c>
      <c r="D18" s="15" t="s">
        <v>53</v>
      </c>
      <c r="E18" s="15" t="s">
        <v>59</v>
      </c>
      <c r="F18" s="15" t="s">
        <v>132</v>
      </c>
      <c r="G18" s="15" t="s">
        <v>488</v>
      </c>
      <c r="H18" s="15" t="s">
        <v>133</v>
      </c>
      <c r="I18" s="15" t="s">
        <v>466</v>
      </c>
      <c r="J18" s="15" t="s">
        <v>467</v>
      </c>
      <c r="K18" s="15">
        <v>30</v>
      </c>
      <c r="L18" s="15">
        <v>-30</v>
      </c>
      <c r="M18" s="15"/>
      <c r="N18" s="15"/>
      <c r="O18" s="15"/>
      <c r="P18" s="15"/>
      <c r="Q18" s="15"/>
      <c r="R18" s="15"/>
      <c r="S18" s="15">
        <v>0.35</v>
      </c>
      <c r="T18" s="7" t="s">
        <v>490</v>
      </c>
    </row>
    <row r="19" spans="1:20" ht="23.25" customHeight="1">
      <c r="A19" s="15" t="s">
        <v>134</v>
      </c>
      <c r="B19" s="15" t="s">
        <v>125</v>
      </c>
      <c r="C19" s="7" t="s">
        <v>135</v>
      </c>
      <c r="D19" s="15" t="s">
        <v>47</v>
      </c>
      <c r="E19" s="15" t="s">
        <v>46</v>
      </c>
      <c r="F19" s="15" t="s">
        <v>74</v>
      </c>
      <c r="G19" s="15" t="s">
        <v>137</v>
      </c>
      <c r="H19" s="15" t="s">
        <v>136</v>
      </c>
      <c r="I19" s="15" t="s">
        <v>466</v>
      </c>
      <c r="J19" s="15" t="s">
        <v>366</v>
      </c>
      <c r="K19" s="15">
        <v>250</v>
      </c>
      <c r="L19" s="15">
        <v>900</v>
      </c>
      <c r="M19" s="15"/>
      <c r="N19" s="15"/>
      <c r="O19" s="15"/>
      <c r="P19" s="15"/>
      <c r="Q19" s="15"/>
      <c r="R19" s="15"/>
      <c r="S19" s="15">
        <v>0.35</v>
      </c>
      <c r="T19" s="7" t="s">
        <v>491</v>
      </c>
    </row>
    <row r="20" spans="1:20" ht="23.25" customHeight="1">
      <c r="A20" s="15" t="s">
        <v>138</v>
      </c>
      <c r="B20" s="15" t="s">
        <v>139</v>
      </c>
      <c r="C20" s="15" t="s">
        <v>140</v>
      </c>
      <c r="D20" s="15" t="s">
        <v>53</v>
      </c>
      <c r="E20" s="15" t="s">
        <v>59</v>
      </c>
      <c r="F20" s="15" t="s">
        <v>141</v>
      </c>
      <c r="G20" s="15" t="s">
        <v>143</v>
      </c>
      <c r="H20" s="15" t="s">
        <v>142</v>
      </c>
      <c r="I20" s="15" t="s">
        <v>466</v>
      </c>
      <c r="J20" s="15" t="s">
        <v>366</v>
      </c>
      <c r="K20" s="15">
        <v>3</v>
      </c>
      <c r="L20" s="15">
        <v>8.5</v>
      </c>
      <c r="M20" s="15"/>
      <c r="N20" s="15"/>
      <c r="O20" s="15"/>
      <c r="P20" s="15"/>
      <c r="Q20" s="15"/>
      <c r="R20" s="15"/>
      <c r="S20" s="15">
        <v>0.35</v>
      </c>
      <c r="T20" s="7" t="s">
        <v>492</v>
      </c>
    </row>
    <row r="21" spans="1:20" ht="16.5" customHeight="1">
      <c r="A21" s="15" t="s">
        <v>144</v>
      </c>
      <c r="B21" s="15" t="s">
        <v>139</v>
      </c>
      <c r="C21" s="7" t="s">
        <v>145</v>
      </c>
      <c r="D21" s="15" t="s">
        <v>149</v>
      </c>
      <c r="E21" s="15" t="s">
        <v>82</v>
      </c>
      <c r="F21" s="15" t="s">
        <v>146</v>
      </c>
      <c r="G21" s="15" t="s">
        <v>148</v>
      </c>
      <c r="H21" s="15" t="s">
        <v>147</v>
      </c>
      <c r="I21" s="15" t="s">
        <v>466</v>
      </c>
      <c r="J21" s="15" t="s">
        <v>467</v>
      </c>
      <c r="K21" s="15">
        <v>6</v>
      </c>
      <c r="L21" s="15">
        <v>3</v>
      </c>
      <c r="M21" s="15"/>
      <c r="N21" s="15"/>
      <c r="O21" s="15"/>
      <c r="P21" s="15"/>
      <c r="Q21" s="15"/>
      <c r="R21" s="15"/>
      <c r="S21" s="15">
        <v>0.35</v>
      </c>
      <c r="T21" s="7" t="s">
        <v>493</v>
      </c>
    </row>
    <row r="22" spans="1:20" ht="23.25" customHeight="1">
      <c r="A22" s="15" t="s">
        <v>150</v>
      </c>
      <c r="B22" s="15" t="s">
        <v>139</v>
      </c>
      <c r="C22" s="7" t="s">
        <v>151</v>
      </c>
      <c r="D22" s="15" t="s">
        <v>149</v>
      </c>
      <c r="E22" s="15" t="s">
        <v>82</v>
      </c>
      <c r="F22" s="15" t="s">
        <v>152</v>
      </c>
      <c r="G22" s="15" t="s">
        <v>154</v>
      </c>
      <c r="H22" s="15" t="s">
        <v>153</v>
      </c>
      <c r="I22" s="15" t="s">
        <v>466</v>
      </c>
      <c r="J22" s="15" t="s">
        <v>467</v>
      </c>
      <c r="K22" s="15">
        <v>1.8</v>
      </c>
      <c r="L22" s="15">
        <v>0.9</v>
      </c>
      <c r="M22" s="15"/>
      <c r="N22" s="15"/>
      <c r="O22" s="15"/>
      <c r="P22" s="15"/>
      <c r="Q22" s="15"/>
      <c r="R22" s="15"/>
      <c r="S22" s="15">
        <v>0.3</v>
      </c>
      <c r="T22" s="7" t="s">
        <v>494</v>
      </c>
    </row>
    <row r="23" spans="1:20" ht="23.25" customHeight="1">
      <c r="A23" s="15" t="s">
        <v>155</v>
      </c>
      <c r="B23" s="15" t="s">
        <v>156</v>
      </c>
      <c r="C23" s="15" t="s">
        <v>155</v>
      </c>
      <c r="D23" s="15" t="s">
        <v>66</v>
      </c>
      <c r="E23" s="15" t="s">
        <v>46</v>
      </c>
      <c r="F23" s="15" t="s">
        <v>157</v>
      </c>
      <c r="G23" s="15" t="s">
        <v>159</v>
      </c>
      <c r="H23" s="15" t="s">
        <v>158</v>
      </c>
      <c r="I23" s="15" t="s">
        <v>466</v>
      </c>
      <c r="J23" s="15" t="s">
        <v>366</v>
      </c>
      <c r="K23" s="15">
        <v>12</v>
      </c>
      <c r="L23" s="15">
        <v>45</v>
      </c>
      <c r="M23" s="15"/>
      <c r="N23" s="15"/>
      <c r="O23" s="15"/>
      <c r="P23" s="15"/>
      <c r="Q23" s="15"/>
      <c r="R23" s="15"/>
      <c r="S23" s="15">
        <v>0.4</v>
      </c>
      <c r="T23" s="15"/>
    </row>
    <row r="24" spans="1:20" ht="32.25" customHeight="1">
      <c r="A24" s="15" t="s">
        <v>160</v>
      </c>
      <c r="B24" s="15" t="s">
        <v>156</v>
      </c>
      <c r="C24" s="15" t="s">
        <v>160</v>
      </c>
      <c r="D24" s="15" t="s">
        <v>66</v>
      </c>
      <c r="E24" s="15" t="s">
        <v>46</v>
      </c>
      <c r="F24" s="15" t="s">
        <v>161</v>
      </c>
      <c r="G24" s="15" t="s">
        <v>495</v>
      </c>
      <c r="H24" s="15" t="s">
        <v>160</v>
      </c>
      <c r="I24" s="15" t="s">
        <v>466</v>
      </c>
      <c r="J24" s="15" t="s">
        <v>366</v>
      </c>
      <c r="K24" s="15">
        <v>60</v>
      </c>
      <c r="L24" s="15">
        <v>160</v>
      </c>
      <c r="M24" s="15"/>
      <c r="N24" s="15"/>
      <c r="O24" s="15"/>
      <c r="P24" s="15"/>
      <c r="Q24" s="15"/>
      <c r="R24" s="15"/>
      <c r="S24" s="15">
        <v>0.35</v>
      </c>
      <c r="T24" s="7" t="s">
        <v>496</v>
      </c>
    </row>
    <row r="25" spans="1:20" ht="32.25" customHeight="1">
      <c r="A25" s="15" t="s">
        <v>162</v>
      </c>
      <c r="B25" s="15" t="s">
        <v>156</v>
      </c>
      <c r="C25" s="7" t="s">
        <v>163</v>
      </c>
      <c r="D25" s="15" t="s">
        <v>53</v>
      </c>
      <c r="E25" s="15" t="s">
        <v>46</v>
      </c>
      <c r="F25" s="15" t="s">
        <v>164</v>
      </c>
      <c r="G25" s="15" t="s">
        <v>497</v>
      </c>
      <c r="H25" s="15" t="s">
        <v>165</v>
      </c>
      <c r="I25" s="15" t="s">
        <v>466</v>
      </c>
      <c r="J25" s="15" t="s">
        <v>366</v>
      </c>
      <c r="K25" s="15">
        <v>0</v>
      </c>
      <c r="L25" s="15">
        <v>20</v>
      </c>
      <c r="M25" s="15"/>
      <c r="N25" s="15"/>
      <c r="O25" s="15"/>
      <c r="P25" s="15"/>
      <c r="Q25" s="15"/>
      <c r="R25" s="15"/>
      <c r="S25" s="15">
        <v>0.25</v>
      </c>
      <c r="T25" s="7" t="s">
        <v>498</v>
      </c>
    </row>
    <row r="26" spans="1:20" ht="32.25" customHeight="1">
      <c r="A26" s="15" t="s">
        <v>166</v>
      </c>
      <c r="B26" s="15" t="s">
        <v>167</v>
      </c>
      <c r="C26" s="7" t="s">
        <v>168</v>
      </c>
      <c r="D26" s="15" t="s">
        <v>66</v>
      </c>
      <c r="E26" s="15" t="s">
        <v>46</v>
      </c>
      <c r="F26" s="15" t="s">
        <v>169</v>
      </c>
      <c r="G26" s="15" t="s">
        <v>499</v>
      </c>
      <c r="H26" s="15" t="s">
        <v>166</v>
      </c>
      <c r="I26" s="15" t="s">
        <v>473</v>
      </c>
      <c r="J26" s="15" t="s">
        <v>474</v>
      </c>
      <c r="K26" s="15"/>
      <c r="L26" s="15"/>
      <c r="M26" s="15">
        <v>85</v>
      </c>
      <c r="N26" s="15">
        <v>92</v>
      </c>
      <c r="O26" s="15">
        <v>102</v>
      </c>
      <c r="P26" s="15">
        <v>112</v>
      </c>
      <c r="Q26" s="15"/>
      <c r="R26" s="15"/>
      <c r="S26" s="15">
        <v>0.35</v>
      </c>
      <c r="T26" s="7" t="s">
        <v>500</v>
      </c>
    </row>
    <row r="27" spans="1:20" ht="32.25" customHeight="1">
      <c r="A27" s="15" t="s">
        <v>170</v>
      </c>
      <c r="B27" s="15" t="s">
        <v>167</v>
      </c>
      <c r="C27" s="7" t="s">
        <v>171</v>
      </c>
      <c r="D27" s="15" t="s">
        <v>47</v>
      </c>
      <c r="E27" s="15" t="s">
        <v>46</v>
      </c>
      <c r="F27" s="15" t="s">
        <v>172</v>
      </c>
      <c r="G27" s="15" t="s">
        <v>499</v>
      </c>
      <c r="H27" s="15" t="s">
        <v>165</v>
      </c>
      <c r="I27" s="15" t="s">
        <v>466</v>
      </c>
      <c r="J27" s="15" t="s">
        <v>467</v>
      </c>
      <c r="K27" s="15">
        <v>250</v>
      </c>
      <c r="L27" s="15">
        <v>0</v>
      </c>
      <c r="M27" s="15"/>
      <c r="N27" s="15"/>
      <c r="O27" s="15"/>
      <c r="P27" s="15"/>
      <c r="Q27" s="15"/>
      <c r="R27" s="15"/>
      <c r="S27" s="15">
        <v>0.35</v>
      </c>
      <c r="T27" s="7" t="s">
        <v>501</v>
      </c>
    </row>
    <row r="28" spans="1:20" ht="32.25" customHeight="1">
      <c r="A28" s="15" t="s">
        <v>173</v>
      </c>
      <c r="B28" s="15" t="s">
        <v>167</v>
      </c>
      <c r="C28" s="7" t="s">
        <v>174</v>
      </c>
      <c r="D28" s="15" t="s">
        <v>177</v>
      </c>
      <c r="E28" s="15" t="s">
        <v>82</v>
      </c>
      <c r="F28" s="15" t="s">
        <v>175</v>
      </c>
      <c r="G28" s="15" t="s">
        <v>497</v>
      </c>
      <c r="H28" s="15" t="s">
        <v>176</v>
      </c>
      <c r="I28" s="15" t="s">
        <v>466</v>
      </c>
      <c r="J28" s="15" t="s">
        <v>467</v>
      </c>
      <c r="K28" s="15">
        <v>80</v>
      </c>
      <c r="L28" s="15">
        <v>-80</v>
      </c>
      <c r="M28" s="15"/>
      <c r="N28" s="15"/>
      <c r="O28" s="15"/>
      <c r="P28" s="15"/>
      <c r="Q28" s="15"/>
      <c r="R28" s="15"/>
      <c r="S28" s="15">
        <v>0.3</v>
      </c>
      <c r="T28" s="7" t="s">
        <v>502</v>
      </c>
    </row>
    <row r="29" spans="1:20" ht="23.25" customHeight="1">
      <c r="A29" s="15" t="s">
        <v>178</v>
      </c>
      <c r="B29" s="15" t="s">
        <v>179</v>
      </c>
      <c r="C29" s="7" t="s">
        <v>180</v>
      </c>
      <c r="D29" s="15" t="s">
        <v>53</v>
      </c>
      <c r="E29" s="15" t="s">
        <v>184</v>
      </c>
      <c r="F29" s="15" t="s">
        <v>181</v>
      </c>
      <c r="G29" s="15" t="s">
        <v>183</v>
      </c>
      <c r="H29" s="15" t="s">
        <v>182</v>
      </c>
      <c r="I29" s="15" t="s">
        <v>466</v>
      </c>
      <c r="J29" s="15" t="s">
        <v>366</v>
      </c>
      <c r="K29" s="15">
        <v>2</v>
      </c>
      <c r="L29" s="15">
        <v>10</v>
      </c>
      <c r="M29" s="15"/>
      <c r="N29" s="15"/>
      <c r="O29" s="15"/>
      <c r="P29" s="15"/>
      <c r="Q29" s="15"/>
      <c r="R29" s="15"/>
      <c r="S29" s="15">
        <v>0.45</v>
      </c>
      <c r="T29" s="7" t="s">
        <v>503</v>
      </c>
    </row>
    <row r="30" spans="1:20" ht="23.25" customHeight="1">
      <c r="A30" s="15" t="s">
        <v>185</v>
      </c>
      <c r="B30" s="15" t="s">
        <v>179</v>
      </c>
      <c r="C30" s="7" t="s">
        <v>186</v>
      </c>
      <c r="D30" s="15" t="s">
        <v>53</v>
      </c>
      <c r="E30" s="15" t="s">
        <v>187</v>
      </c>
      <c r="F30" s="15" t="s">
        <v>181</v>
      </c>
      <c r="G30" s="15" t="s">
        <v>183</v>
      </c>
      <c r="H30" s="15" t="s">
        <v>182</v>
      </c>
      <c r="I30" s="15" t="s">
        <v>466</v>
      </c>
      <c r="J30" s="15" t="s">
        <v>366</v>
      </c>
      <c r="K30" s="15">
        <v>60</v>
      </c>
      <c r="L30" s="15">
        <v>140</v>
      </c>
      <c r="M30" s="15"/>
      <c r="N30" s="15"/>
      <c r="O30" s="15"/>
      <c r="P30" s="15"/>
      <c r="Q30" s="15"/>
      <c r="R30" s="15"/>
      <c r="S30" s="15">
        <v>0.3</v>
      </c>
      <c r="T30" s="15"/>
    </row>
    <row r="31" spans="1:20" ht="16.5" customHeight="1">
      <c r="A31" s="15" t="s">
        <v>188</v>
      </c>
      <c r="B31" s="15" t="s">
        <v>179</v>
      </c>
      <c r="C31" s="7" t="s">
        <v>189</v>
      </c>
      <c r="D31" s="15" t="s">
        <v>53</v>
      </c>
      <c r="E31" s="15" t="s">
        <v>187</v>
      </c>
      <c r="F31" s="15" t="s">
        <v>190</v>
      </c>
      <c r="G31" s="15" t="s">
        <v>497</v>
      </c>
      <c r="H31" s="15" t="s">
        <v>165</v>
      </c>
      <c r="I31" s="15" t="s">
        <v>466</v>
      </c>
      <c r="J31" s="15" t="s">
        <v>366</v>
      </c>
      <c r="K31" s="15">
        <v>8</v>
      </c>
      <c r="L31" s="15">
        <v>25</v>
      </c>
      <c r="M31" s="15"/>
      <c r="N31" s="15"/>
      <c r="O31" s="15"/>
      <c r="P31" s="15"/>
      <c r="Q31" s="15"/>
      <c r="R31" s="15"/>
      <c r="S31" s="15">
        <v>0.25</v>
      </c>
      <c r="T31" s="7" t="s">
        <v>504</v>
      </c>
    </row>
    <row r="32" spans="1:20" ht="16.5" customHeight="1">
      <c r="A32" s="15" t="s">
        <v>191</v>
      </c>
      <c r="B32" s="15" t="s">
        <v>192</v>
      </c>
      <c r="C32" s="7" t="s">
        <v>193</v>
      </c>
      <c r="D32" s="15" t="s">
        <v>66</v>
      </c>
      <c r="E32" s="15" t="s">
        <v>59</v>
      </c>
      <c r="F32" s="15" t="s">
        <v>194</v>
      </c>
      <c r="G32" s="15" t="s">
        <v>499</v>
      </c>
      <c r="H32" s="15" t="s">
        <v>191</v>
      </c>
      <c r="I32" s="15" t="s">
        <v>466</v>
      </c>
      <c r="J32" s="15" t="s">
        <v>366</v>
      </c>
      <c r="K32" s="15">
        <v>-1</v>
      </c>
      <c r="L32" s="15">
        <v>1.5</v>
      </c>
      <c r="M32" s="15"/>
      <c r="N32" s="15"/>
      <c r="O32" s="15"/>
      <c r="P32" s="15"/>
      <c r="Q32" s="15"/>
      <c r="R32" s="15"/>
      <c r="S32" s="15">
        <v>0.4</v>
      </c>
      <c r="T32" s="15" t="s">
        <v>505</v>
      </c>
    </row>
    <row r="33" spans="1:20" ht="23.25" customHeight="1">
      <c r="A33" s="15" t="s">
        <v>195</v>
      </c>
      <c r="B33" s="15" t="s">
        <v>192</v>
      </c>
      <c r="C33" s="7" t="s">
        <v>196</v>
      </c>
      <c r="D33" s="15" t="s">
        <v>53</v>
      </c>
      <c r="E33" s="15" t="s">
        <v>199</v>
      </c>
      <c r="F33" s="15" t="s">
        <v>197</v>
      </c>
      <c r="G33" s="15" t="s">
        <v>499</v>
      </c>
      <c r="H33" s="15" t="s">
        <v>198</v>
      </c>
      <c r="I33" s="15" t="s">
        <v>473</v>
      </c>
      <c r="J33" s="15" t="s">
        <v>474</v>
      </c>
      <c r="K33" s="15"/>
      <c r="L33" s="15"/>
      <c r="M33" s="15">
        <v>-5</v>
      </c>
      <c r="N33" s="15">
        <v>2</v>
      </c>
      <c r="O33" s="15">
        <v>8</v>
      </c>
      <c r="P33" s="15">
        <v>15</v>
      </c>
      <c r="Q33" s="15"/>
      <c r="R33" s="15"/>
      <c r="S33" s="15">
        <v>0.35</v>
      </c>
      <c r="T33" s="7" t="s">
        <v>506</v>
      </c>
    </row>
    <row r="34" spans="1:20" ht="23.25" customHeight="1">
      <c r="A34" s="15" t="s">
        <v>200</v>
      </c>
      <c r="B34" s="15" t="s">
        <v>192</v>
      </c>
      <c r="C34" s="15" t="s">
        <v>201</v>
      </c>
      <c r="D34" s="15" t="s">
        <v>47</v>
      </c>
      <c r="E34" s="15" t="s">
        <v>46</v>
      </c>
      <c r="F34" s="15" t="s">
        <v>74</v>
      </c>
      <c r="G34" s="15" t="s">
        <v>203</v>
      </c>
      <c r="H34" s="15" t="s">
        <v>202</v>
      </c>
      <c r="I34" s="15" t="s">
        <v>466</v>
      </c>
      <c r="J34" s="15" t="s">
        <v>366</v>
      </c>
      <c r="K34" s="15">
        <v>20</v>
      </c>
      <c r="L34" s="15">
        <v>150</v>
      </c>
      <c r="M34" s="15"/>
      <c r="N34" s="15"/>
      <c r="O34" s="15"/>
      <c r="P34" s="15"/>
      <c r="Q34" s="15"/>
      <c r="R34" s="15"/>
      <c r="S34" s="15">
        <v>0.25</v>
      </c>
      <c r="T34" s="7" t="s">
        <v>507</v>
      </c>
    </row>
    <row r="35" spans="1:20" ht="32.25" customHeight="1">
      <c r="A35" s="15" t="s">
        <v>204</v>
      </c>
      <c r="B35" s="15" t="s">
        <v>205</v>
      </c>
      <c r="C35" s="15" t="s">
        <v>206</v>
      </c>
      <c r="D35" s="15" t="s">
        <v>208</v>
      </c>
      <c r="E35" s="15" t="s">
        <v>46</v>
      </c>
      <c r="F35" s="15" t="s">
        <v>207</v>
      </c>
      <c r="G35" s="15" t="s">
        <v>499</v>
      </c>
      <c r="H35" s="15" t="s">
        <v>204</v>
      </c>
      <c r="I35" s="15" t="s">
        <v>473</v>
      </c>
      <c r="J35" s="15" t="s">
        <v>474</v>
      </c>
      <c r="K35" s="15"/>
      <c r="L35" s="15"/>
      <c r="M35" s="15">
        <v>30</v>
      </c>
      <c r="N35" s="15">
        <v>55</v>
      </c>
      <c r="O35" s="15">
        <v>85</v>
      </c>
      <c r="P35" s="15">
        <v>120</v>
      </c>
      <c r="Q35" s="15"/>
      <c r="R35" s="15"/>
      <c r="S35" s="15">
        <v>0.4</v>
      </c>
      <c r="T35" s="7" t="s">
        <v>508</v>
      </c>
    </row>
    <row r="36" spans="1:20" ht="32.25" customHeight="1">
      <c r="A36" s="15" t="s">
        <v>209</v>
      </c>
      <c r="B36" s="15" t="s">
        <v>205</v>
      </c>
      <c r="C36" s="7" t="s">
        <v>210</v>
      </c>
      <c r="D36" s="15" t="s">
        <v>53</v>
      </c>
      <c r="E36" s="15" t="s">
        <v>59</v>
      </c>
      <c r="F36" s="15" t="s">
        <v>211</v>
      </c>
      <c r="G36" s="15" t="s">
        <v>499</v>
      </c>
      <c r="H36" s="15" t="s">
        <v>209</v>
      </c>
      <c r="I36" s="15" t="s">
        <v>473</v>
      </c>
      <c r="J36" s="15" t="s">
        <v>474</v>
      </c>
      <c r="K36" s="15"/>
      <c r="L36" s="15"/>
      <c r="M36" s="15">
        <v>-20</v>
      </c>
      <c r="N36" s="15">
        <v>-5</v>
      </c>
      <c r="O36" s="15">
        <v>10</v>
      </c>
      <c r="P36" s="15">
        <v>30</v>
      </c>
      <c r="Q36" s="15"/>
      <c r="R36" s="15"/>
      <c r="S36" s="15">
        <v>0.3</v>
      </c>
      <c r="T36" s="7" t="s">
        <v>509</v>
      </c>
    </row>
    <row r="37" spans="1:20" ht="34.5" customHeight="1">
      <c r="A37" s="15" t="s">
        <v>212</v>
      </c>
      <c r="B37" s="15" t="s">
        <v>205</v>
      </c>
      <c r="C37" s="7" t="s">
        <v>213</v>
      </c>
      <c r="D37" s="15" t="s">
        <v>66</v>
      </c>
      <c r="E37" s="15" t="s">
        <v>82</v>
      </c>
      <c r="F37" s="15" t="s">
        <v>214</v>
      </c>
      <c r="G37" s="15" t="s">
        <v>510</v>
      </c>
      <c r="H37" s="15" t="s">
        <v>212</v>
      </c>
      <c r="I37" s="15" t="s">
        <v>466</v>
      </c>
      <c r="J37" s="15" t="s">
        <v>366</v>
      </c>
      <c r="K37" s="15">
        <v>80</v>
      </c>
      <c r="L37" s="15">
        <v>250</v>
      </c>
      <c r="M37" s="15"/>
      <c r="N37" s="15"/>
      <c r="O37" s="15"/>
      <c r="P37" s="15"/>
      <c r="Q37" s="15"/>
      <c r="R37" s="15"/>
      <c r="S37" s="15">
        <v>0.3</v>
      </c>
      <c r="T37" s="7" t="s">
        <v>511</v>
      </c>
    </row>
    <row r="38" spans="1:20" ht="23.25" customHeight="1">
      <c r="A38" s="15" t="s">
        <v>217</v>
      </c>
      <c r="B38" s="15" t="s">
        <v>218</v>
      </c>
      <c r="C38" s="7" t="s">
        <v>219</v>
      </c>
      <c r="D38" s="15" t="s">
        <v>66</v>
      </c>
      <c r="E38" s="15" t="s">
        <v>82</v>
      </c>
      <c r="F38" s="15" t="s">
        <v>91</v>
      </c>
      <c r="G38" s="15" t="s">
        <v>93</v>
      </c>
      <c r="H38" s="15" t="s">
        <v>220</v>
      </c>
      <c r="I38" s="15" t="s">
        <v>466</v>
      </c>
      <c r="J38" s="15" t="s">
        <v>467</v>
      </c>
      <c r="K38" s="15">
        <v>120</v>
      </c>
      <c r="L38" s="15">
        <v>60</v>
      </c>
      <c r="M38" s="15"/>
      <c r="N38" s="15"/>
      <c r="O38" s="15"/>
      <c r="P38" s="15"/>
      <c r="Q38" s="15"/>
      <c r="R38" s="15"/>
      <c r="S38" s="15">
        <v>0.45</v>
      </c>
      <c r="T38" s="15"/>
    </row>
    <row r="39" spans="1:20" ht="34.5" customHeight="1">
      <c r="A39" s="15" t="s">
        <v>221</v>
      </c>
      <c r="B39" s="15" t="s">
        <v>218</v>
      </c>
      <c r="C39" s="15" t="s">
        <v>222</v>
      </c>
      <c r="D39" s="15" t="s">
        <v>66</v>
      </c>
      <c r="E39" s="15" t="s">
        <v>75</v>
      </c>
      <c r="F39" s="15" t="s">
        <v>91</v>
      </c>
      <c r="G39" s="15" t="s">
        <v>512</v>
      </c>
      <c r="H39" s="15" t="s">
        <v>222</v>
      </c>
      <c r="I39" s="15" t="s">
        <v>466</v>
      </c>
      <c r="J39" s="15" t="s">
        <v>467</v>
      </c>
      <c r="K39" s="15">
        <v>70</v>
      </c>
      <c r="L39" s="15">
        <v>35</v>
      </c>
      <c r="M39" s="15"/>
      <c r="N39" s="15"/>
      <c r="O39" s="15"/>
      <c r="P39" s="15"/>
      <c r="Q39" s="15"/>
      <c r="R39" s="15"/>
      <c r="S39" s="15">
        <v>0.35</v>
      </c>
      <c r="T39" s="15" t="s">
        <v>513</v>
      </c>
    </row>
    <row r="40" spans="1:20" ht="23.25" customHeight="1">
      <c r="A40" s="15" t="s">
        <v>223</v>
      </c>
      <c r="B40" s="15" t="s">
        <v>218</v>
      </c>
      <c r="C40" s="7" t="s">
        <v>224</v>
      </c>
      <c r="D40" s="15" t="s">
        <v>66</v>
      </c>
      <c r="E40" s="15" t="s">
        <v>82</v>
      </c>
      <c r="F40" s="15" t="s">
        <v>225</v>
      </c>
      <c r="G40" s="15" t="s">
        <v>514</v>
      </c>
      <c r="H40" s="15" t="s">
        <v>223</v>
      </c>
      <c r="I40" s="15" t="s">
        <v>466</v>
      </c>
      <c r="J40" s="15" t="s">
        <v>366</v>
      </c>
      <c r="K40" s="15">
        <v>80</v>
      </c>
      <c r="L40" s="15">
        <v>300</v>
      </c>
      <c r="M40" s="15"/>
      <c r="N40" s="15"/>
      <c r="O40" s="15"/>
      <c r="P40" s="15"/>
      <c r="Q40" s="15"/>
      <c r="R40" s="15"/>
      <c r="S40" s="15">
        <v>0.2</v>
      </c>
      <c r="T40" s="7" t="s">
        <v>515</v>
      </c>
    </row>
    <row r="41" spans="1:20" ht="23.25" customHeight="1">
      <c r="A41" s="15" t="s">
        <v>226</v>
      </c>
      <c r="B41" s="15" t="s">
        <v>227</v>
      </c>
      <c r="C41" s="7" t="s">
        <v>228</v>
      </c>
      <c r="D41" s="15" t="s">
        <v>53</v>
      </c>
      <c r="E41" s="15" t="s">
        <v>75</v>
      </c>
      <c r="F41" s="7" t="s">
        <v>229</v>
      </c>
      <c r="G41" s="15" t="s">
        <v>231</v>
      </c>
      <c r="H41" s="15" t="s">
        <v>230</v>
      </c>
      <c r="I41" s="15" t="s">
        <v>466</v>
      </c>
      <c r="J41" s="15" t="s">
        <v>467</v>
      </c>
      <c r="K41" s="15">
        <v>35</v>
      </c>
      <c r="L41" s="15">
        <v>0</v>
      </c>
      <c r="M41" s="15"/>
      <c r="N41" s="15"/>
      <c r="O41" s="15"/>
      <c r="P41" s="15"/>
      <c r="Q41" s="15"/>
      <c r="R41" s="15"/>
      <c r="S41" s="15">
        <v>0.5</v>
      </c>
      <c r="T41" s="7" t="s">
        <v>516</v>
      </c>
    </row>
    <row r="42" spans="1:20" ht="16.5" customHeight="1">
      <c r="A42" s="15" t="s">
        <v>232</v>
      </c>
      <c r="B42" s="15" t="s">
        <v>227</v>
      </c>
      <c r="C42" s="15" t="s">
        <v>233</v>
      </c>
      <c r="D42" s="15" t="s">
        <v>66</v>
      </c>
      <c r="E42" s="15" t="s">
        <v>75</v>
      </c>
      <c r="F42" s="7" t="s">
        <v>234</v>
      </c>
      <c r="G42" s="15" t="s">
        <v>499</v>
      </c>
      <c r="H42" s="15" t="s">
        <v>165</v>
      </c>
      <c r="I42" s="15" t="s">
        <v>466</v>
      </c>
      <c r="J42" s="15" t="s">
        <v>467</v>
      </c>
      <c r="K42" s="15">
        <v>1</v>
      </c>
      <c r="L42" s="15">
        <v>-1</v>
      </c>
      <c r="M42" s="15"/>
      <c r="N42" s="15"/>
      <c r="O42" s="15"/>
      <c r="P42" s="15"/>
      <c r="Q42" s="15"/>
      <c r="R42" s="15"/>
      <c r="S42" s="15">
        <v>0.3</v>
      </c>
      <c r="T42" s="7" t="s">
        <v>517</v>
      </c>
    </row>
    <row r="43" spans="1:20" ht="32.25" customHeight="1">
      <c r="A43" s="15" t="s">
        <v>235</v>
      </c>
      <c r="B43" s="15" t="s">
        <v>227</v>
      </c>
      <c r="C43" s="7" t="s">
        <v>236</v>
      </c>
      <c r="D43" s="15" t="s">
        <v>238</v>
      </c>
      <c r="E43" s="15" t="s">
        <v>82</v>
      </c>
      <c r="F43" s="15" t="s">
        <v>237</v>
      </c>
      <c r="G43" s="15" t="s">
        <v>499</v>
      </c>
      <c r="H43" s="15" t="s">
        <v>165</v>
      </c>
      <c r="I43" s="15" t="s">
        <v>473</v>
      </c>
      <c r="J43" s="15" t="s">
        <v>474</v>
      </c>
      <c r="K43" s="15"/>
      <c r="L43" s="15"/>
      <c r="M43" s="15">
        <v>0.8</v>
      </c>
      <c r="N43" s="15">
        <v>1</v>
      </c>
      <c r="O43" s="15">
        <v>1.2</v>
      </c>
      <c r="P43" s="15">
        <v>1.4</v>
      </c>
      <c r="Q43" s="15"/>
      <c r="R43" s="15"/>
      <c r="S43" s="15">
        <v>0.2</v>
      </c>
      <c r="T43" s="7" t="s">
        <v>518</v>
      </c>
    </row>
    <row r="44" spans="1:20" ht="32.25" customHeight="1">
      <c r="A44" s="15" t="s">
        <v>239</v>
      </c>
      <c r="B44" s="15" t="s">
        <v>240</v>
      </c>
      <c r="C44" s="15" t="s">
        <v>241</v>
      </c>
      <c r="D44" s="15" t="s">
        <v>244</v>
      </c>
      <c r="E44" s="15" t="s">
        <v>46</v>
      </c>
      <c r="F44" s="15" t="s">
        <v>242</v>
      </c>
      <c r="G44" s="15" t="s">
        <v>519</v>
      </c>
      <c r="H44" s="15" t="s">
        <v>239</v>
      </c>
      <c r="I44" s="15" t="s">
        <v>466</v>
      </c>
      <c r="J44" s="15" t="s">
        <v>467</v>
      </c>
      <c r="K44" s="15">
        <v>120000</v>
      </c>
      <c r="L44" s="15">
        <v>20000</v>
      </c>
      <c r="M44" s="15"/>
      <c r="N44" s="15"/>
      <c r="O44" s="15"/>
      <c r="P44" s="15"/>
      <c r="Q44" s="15"/>
      <c r="R44" s="15"/>
      <c r="S44" s="15">
        <v>0.4</v>
      </c>
      <c r="T44" s="7" t="s">
        <v>520</v>
      </c>
    </row>
    <row r="45" spans="1:20" ht="23.25" customHeight="1">
      <c r="A45" s="15" t="s">
        <v>246</v>
      </c>
      <c r="B45" s="15" t="s">
        <v>240</v>
      </c>
      <c r="C45" s="15" t="s">
        <v>247</v>
      </c>
      <c r="D45" s="15" t="s">
        <v>177</v>
      </c>
      <c r="E45" s="15" t="s">
        <v>46</v>
      </c>
      <c r="F45" s="15" t="s">
        <v>242</v>
      </c>
      <c r="G45" s="15" t="s">
        <v>521</v>
      </c>
      <c r="H45" s="15" t="s">
        <v>248</v>
      </c>
      <c r="I45" s="15" t="s">
        <v>466</v>
      </c>
      <c r="J45" s="15" t="s">
        <v>467</v>
      </c>
      <c r="K45" s="15">
        <v>120</v>
      </c>
      <c r="L45" s="15">
        <v>20</v>
      </c>
      <c r="M45" s="15"/>
      <c r="N45" s="15"/>
      <c r="O45" s="15"/>
      <c r="P45" s="15"/>
      <c r="Q45" s="15"/>
      <c r="R45" s="15"/>
      <c r="S45" s="15">
        <v>0.4</v>
      </c>
      <c r="T45" s="7" t="s">
        <v>522</v>
      </c>
    </row>
    <row r="46" spans="1:20" ht="23.25" customHeight="1">
      <c r="A46" s="15" t="s">
        <v>249</v>
      </c>
      <c r="B46" s="15" t="s">
        <v>240</v>
      </c>
      <c r="C46" s="7" t="s">
        <v>250</v>
      </c>
      <c r="D46" s="15" t="s">
        <v>177</v>
      </c>
      <c r="E46" s="15" t="s">
        <v>46</v>
      </c>
      <c r="F46" s="15" t="s">
        <v>242</v>
      </c>
      <c r="G46" s="15" t="s">
        <v>252</v>
      </c>
      <c r="H46" s="15" t="s">
        <v>251</v>
      </c>
      <c r="I46" s="15" t="s">
        <v>466</v>
      </c>
      <c r="J46" s="15" t="s">
        <v>467</v>
      </c>
      <c r="K46" s="15">
        <v>350</v>
      </c>
      <c r="L46" s="15">
        <v>120</v>
      </c>
      <c r="M46" s="15"/>
      <c r="N46" s="15"/>
      <c r="O46" s="15"/>
      <c r="P46" s="15"/>
      <c r="Q46" s="15"/>
      <c r="R46" s="15"/>
      <c r="S46" s="15">
        <v>0.2</v>
      </c>
      <c r="T46" s="7" t="s">
        <v>523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5B9BD5"/>
  </sheetPr>
  <dimension ref="A1:E51"/>
  <sheetViews>
    <sheetView showGridLines="0" zoomScaleNormal="100" workbookViewId="0">
      <pane ySplit="6" topLeftCell="A7" activePane="bottomLeft" state="frozen"/>
      <selection pane="bottomLeft"/>
    </sheetView>
  </sheetViews>
  <sheetFormatPr baseColWidth="10" defaultColWidth="8.6640625" defaultRowHeight="15" customHeight="1"/>
  <cols>
    <col min="1" max="1" width="20" customWidth="1"/>
    <col min="2" max="2" width="14" customWidth="1"/>
    <col min="3" max="4" width="12" customWidth="1"/>
    <col min="5" max="5" width="36" customWidth="1"/>
  </cols>
  <sheetData>
    <row r="1" spans="1:5" ht="21" customHeight="1">
      <c r="A1" s="79" t="s">
        <v>524</v>
      </c>
      <c r="B1" s="74"/>
      <c r="C1" s="74"/>
      <c r="D1" s="74"/>
      <c r="E1" s="74"/>
    </row>
    <row r="2" spans="1:5" ht="16.5" customHeight="1">
      <c r="A2" s="29" t="s">
        <v>525</v>
      </c>
      <c r="B2" s="30" t="s">
        <v>526</v>
      </c>
      <c r="C2" s="31"/>
      <c r="D2" s="31"/>
      <c r="E2" s="31"/>
    </row>
    <row r="3" spans="1:5" ht="15" customHeight="1">
      <c r="A3" s="31"/>
      <c r="B3" s="31"/>
      <c r="C3" s="31"/>
      <c r="D3" s="31"/>
      <c r="E3" s="31"/>
    </row>
    <row r="4" spans="1:5" ht="63.75" customHeight="1">
      <c r="A4" s="7" t="s">
        <v>527</v>
      </c>
      <c r="B4" s="31"/>
      <c r="C4" s="31"/>
      <c r="D4" s="31"/>
      <c r="E4" s="31"/>
    </row>
    <row r="5" spans="1:5" ht="15" customHeight="1">
      <c r="A5" s="31"/>
      <c r="B5" s="31"/>
      <c r="C5" s="31"/>
      <c r="D5" s="31"/>
      <c r="E5" s="31"/>
    </row>
    <row r="6" spans="1:5" ht="15" customHeight="1">
      <c r="A6" s="25" t="s">
        <v>31</v>
      </c>
      <c r="B6" s="25" t="s">
        <v>528</v>
      </c>
      <c r="C6" s="25" t="s">
        <v>529</v>
      </c>
      <c r="D6" s="25" t="s">
        <v>530</v>
      </c>
      <c r="E6" s="25" t="s">
        <v>465</v>
      </c>
    </row>
    <row r="7" spans="1:5" ht="32.25" customHeight="1">
      <c r="A7" s="32" t="s">
        <v>40</v>
      </c>
      <c r="B7" s="33">
        <v>34</v>
      </c>
      <c r="C7" s="34" t="s">
        <v>526</v>
      </c>
      <c r="D7" s="34" t="s">
        <v>526</v>
      </c>
      <c r="E7" s="35" t="s">
        <v>531</v>
      </c>
    </row>
    <row r="8" spans="1:5" ht="32.25" customHeight="1">
      <c r="A8" s="32" t="s">
        <v>49</v>
      </c>
      <c r="B8" s="33">
        <v>3.67</v>
      </c>
      <c r="C8" s="34" t="s">
        <v>526</v>
      </c>
      <c r="D8" s="34" t="s">
        <v>526</v>
      </c>
      <c r="E8" s="35" t="s">
        <v>532</v>
      </c>
    </row>
    <row r="9" spans="1:5" ht="32.25" customHeight="1">
      <c r="A9" s="32" t="s">
        <v>54</v>
      </c>
      <c r="B9" s="33">
        <v>6.6139999999999999</v>
      </c>
      <c r="C9" s="34" t="s">
        <v>526</v>
      </c>
      <c r="D9" s="34" t="s">
        <v>526</v>
      </c>
      <c r="E9" s="35" t="s">
        <v>532</v>
      </c>
    </row>
    <row r="10" spans="1:5" ht="32.25" customHeight="1">
      <c r="A10" s="32" t="s">
        <v>61</v>
      </c>
      <c r="B10" s="33">
        <v>0.15</v>
      </c>
      <c r="C10" s="34" t="s">
        <v>526</v>
      </c>
      <c r="D10" s="34" t="s">
        <v>526</v>
      </c>
      <c r="E10" s="35" t="s">
        <v>532</v>
      </c>
    </row>
    <row r="11" spans="1:5" ht="32.25" customHeight="1">
      <c r="A11" s="32" t="s">
        <v>69</v>
      </c>
      <c r="B11" s="33">
        <v>1.4</v>
      </c>
      <c r="C11" s="34" t="s">
        <v>526</v>
      </c>
      <c r="D11" s="34" t="s">
        <v>526</v>
      </c>
      <c r="E11" s="35" t="s">
        <v>533</v>
      </c>
    </row>
    <row r="12" spans="1:5" ht="32.25" customHeight="1">
      <c r="A12" s="32" t="s">
        <v>77</v>
      </c>
      <c r="B12" s="33">
        <v>52.5</v>
      </c>
      <c r="C12" s="34" t="s">
        <v>526</v>
      </c>
      <c r="D12" s="34" t="s">
        <v>526</v>
      </c>
      <c r="E12" s="35" t="s">
        <v>532</v>
      </c>
    </row>
    <row r="13" spans="1:5" ht="32.25" customHeight="1">
      <c r="A13" s="32" t="s">
        <v>84</v>
      </c>
      <c r="B13" s="33">
        <v>225</v>
      </c>
      <c r="C13" s="34" t="s">
        <v>526</v>
      </c>
      <c r="D13" s="34" t="s">
        <v>526</v>
      </c>
      <c r="E13" s="35" t="s">
        <v>532</v>
      </c>
    </row>
    <row r="14" spans="1:5" ht="32.25" customHeight="1">
      <c r="A14" s="32" t="s">
        <v>89</v>
      </c>
      <c r="B14" s="33">
        <v>-0.8</v>
      </c>
      <c r="C14" s="34" t="s">
        <v>526</v>
      </c>
      <c r="D14" s="34" t="s">
        <v>526</v>
      </c>
      <c r="E14" s="35" t="s">
        <v>532</v>
      </c>
    </row>
    <row r="15" spans="1:5" ht="32.25" customHeight="1">
      <c r="A15" s="32" t="s">
        <v>94</v>
      </c>
      <c r="B15" s="33">
        <v>2.5</v>
      </c>
      <c r="C15" s="34" t="s">
        <v>526</v>
      </c>
      <c r="D15" s="34" t="s">
        <v>526</v>
      </c>
      <c r="E15" s="35" t="s">
        <v>534</v>
      </c>
    </row>
    <row r="16" spans="1:5" ht="32.25" customHeight="1">
      <c r="A16" s="32" t="s">
        <v>100</v>
      </c>
      <c r="B16" s="33">
        <v>2.6</v>
      </c>
      <c r="C16" s="34" t="s">
        <v>526</v>
      </c>
      <c r="D16" s="34" t="s">
        <v>526</v>
      </c>
      <c r="E16" s="35" t="s">
        <v>532</v>
      </c>
    </row>
    <row r="17" spans="1:5" ht="32.25" customHeight="1">
      <c r="A17" s="32" t="s">
        <v>104</v>
      </c>
      <c r="B17" s="33">
        <v>2.35</v>
      </c>
      <c r="C17" s="34" t="s">
        <v>526</v>
      </c>
      <c r="D17" s="34" t="s">
        <v>526</v>
      </c>
      <c r="E17" s="35" t="s">
        <v>532</v>
      </c>
    </row>
    <row r="18" spans="1:5" ht="16.5" customHeight="1">
      <c r="A18" s="32" t="s">
        <v>108</v>
      </c>
      <c r="B18" s="33">
        <v>4.3</v>
      </c>
      <c r="C18" s="34" t="s">
        <v>526</v>
      </c>
      <c r="D18" s="34" t="s">
        <v>526</v>
      </c>
      <c r="E18" s="35" t="s">
        <v>535</v>
      </c>
    </row>
    <row r="19" spans="1:5" ht="32.25" customHeight="1">
      <c r="A19" s="32" t="s">
        <v>112</v>
      </c>
      <c r="B19" s="33">
        <v>3.9</v>
      </c>
      <c r="C19" s="34" t="s">
        <v>526</v>
      </c>
      <c r="D19" s="34" t="s">
        <v>526</v>
      </c>
      <c r="E19" s="35" t="s">
        <v>532</v>
      </c>
    </row>
    <row r="20" spans="1:5" ht="32.25" customHeight="1">
      <c r="A20" s="32" t="s">
        <v>116</v>
      </c>
      <c r="B20" s="33">
        <v>2.94</v>
      </c>
      <c r="C20" s="34" t="s">
        <v>526</v>
      </c>
      <c r="D20" s="34" t="s">
        <v>526</v>
      </c>
      <c r="E20" s="35" t="s">
        <v>532</v>
      </c>
    </row>
    <row r="21" spans="1:5" ht="32.25" customHeight="1">
      <c r="A21" s="32" t="s">
        <v>120</v>
      </c>
      <c r="B21" s="33">
        <v>1.8</v>
      </c>
      <c r="C21" s="34" t="s">
        <v>526</v>
      </c>
      <c r="D21" s="34" t="s">
        <v>526</v>
      </c>
      <c r="E21" s="35" t="s">
        <v>532</v>
      </c>
    </row>
    <row r="22" spans="1:5" ht="32.25" customHeight="1">
      <c r="A22" s="32" t="s">
        <v>124</v>
      </c>
      <c r="B22" s="33">
        <v>22.17</v>
      </c>
      <c r="C22" s="34" t="s">
        <v>526</v>
      </c>
      <c r="D22" s="34" t="s">
        <v>526</v>
      </c>
      <c r="E22" s="35" t="s">
        <v>532</v>
      </c>
    </row>
    <row r="23" spans="1:5" ht="32.25" customHeight="1">
      <c r="A23" s="32" t="s">
        <v>130</v>
      </c>
      <c r="B23" s="33">
        <v>-8</v>
      </c>
      <c r="C23" s="34" t="s">
        <v>526</v>
      </c>
      <c r="D23" s="34" t="s">
        <v>526</v>
      </c>
      <c r="E23" s="35" t="s">
        <v>532</v>
      </c>
    </row>
    <row r="24" spans="1:5" ht="32.25" customHeight="1">
      <c r="A24" s="32" t="s">
        <v>134</v>
      </c>
      <c r="B24" s="33">
        <v>335</v>
      </c>
      <c r="C24" s="34" t="s">
        <v>526</v>
      </c>
      <c r="D24" s="34" t="s">
        <v>526</v>
      </c>
      <c r="E24" s="35" t="s">
        <v>532</v>
      </c>
    </row>
    <row r="25" spans="1:5" ht="32.25" customHeight="1">
      <c r="A25" s="32" t="s">
        <v>138</v>
      </c>
      <c r="B25" s="33">
        <v>5.98</v>
      </c>
      <c r="C25" s="34" t="s">
        <v>526</v>
      </c>
      <c r="D25" s="34" t="s">
        <v>526</v>
      </c>
      <c r="E25" s="35" t="s">
        <v>536</v>
      </c>
    </row>
    <row r="26" spans="1:5" ht="32.25" customHeight="1">
      <c r="A26" s="32" t="s">
        <v>144</v>
      </c>
      <c r="B26" s="33">
        <v>3.91</v>
      </c>
      <c r="C26" s="34" t="s">
        <v>526</v>
      </c>
      <c r="D26" s="34" t="s">
        <v>526</v>
      </c>
      <c r="E26" s="35" t="s">
        <v>537</v>
      </c>
    </row>
    <row r="27" spans="1:5" ht="32.25" customHeight="1">
      <c r="A27" s="32" t="s">
        <v>150</v>
      </c>
      <c r="B27" s="33">
        <v>1.37</v>
      </c>
      <c r="C27" s="34" t="s">
        <v>526</v>
      </c>
      <c r="D27" s="34" t="s">
        <v>526</v>
      </c>
      <c r="E27" s="35" t="s">
        <v>532</v>
      </c>
    </row>
    <row r="28" spans="1:5" ht="32.25" customHeight="1">
      <c r="A28" s="32" t="s">
        <v>155</v>
      </c>
      <c r="B28" s="33">
        <v>18.63</v>
      </c>
      <c r="C28" s="34" t="s">
        <v>526</v>
      </c>
      <c r="D28" s="34" t="s">
        <v>526</v>
      </c>
      <c r="E28" s="35" t="s">
        <v>532</v>
      </c>
    </row>
    <row r="29" spans="1:5" ht="32.25" customHeight="1">
      <c r="A29" s="32" t="s">
        <v>160</v>
      </c>
      <c r="B29" s="33">
        <v>73.38</v>
      </c>
      <c r="C29" s="34" t="s">
        <v>526</v>
      </c>
      <c r="D29" s="34" t="s">
        <v>526</v>
      </c>
      <c r="E29" s="35" t="s">
        <v>532</v>
      </c>
    </row>
    <row r="30" spans="1:5" ht="32.25" customHeight="1">
      <c r="A30" s="32" t="s">
        <v>162</v>
      </c>
      <c r="B30" s="33">
        <v>-4.5</v>
      </c>
      <c r="C30" s="34" t="s">
        <v>526</v>
      </c>
      <c r="D30" s="34" t="s">
        <v>526</v>
      </c>
      <c r="E30" s="35" t="s">
        <v>532</v>
      </c>
    </row>
    <row r="31" spans="1:5" ht="32.25" customHeight="1">
      <c r="A31" s="32" t="s">
        <v>166</v>
      </c>
      <c r="B31" s="33">
        <v>97.65</v>
      </c>
      <c r="C31" s="34" t="s">
        <v>526</v>
      </c>
      <c r="D31" s="34" t="s">
        <v>526</v>
      </c>
      <c r="E31" s="35" t="s">
        <v>532</v>
      </c>
    </row>
    <row r="32" spans="1:5" ht="32.25" customHeight="1">
      <c r="A32" s="32" t="s">
        <v>170</v>
      </c>
      <c r="B32" s="33">
        <v>187</v>
      </c>
      <c r="C32" s="34" t="s">
        <v>526</v>
      </c>
      <c r="D32" s="34" t="s">
        <v>526</v>
      </c>
      <c r="E32" s="35" t="s">
        <v>532</v>
      </c>
    </row>
    <row r="33" spans="1:5" ht="32.25" customHeight="1">
      <c r="A33" s="32" t="s">
        <v>173</v>
      </c>
      <c r="B33" s="33">
        <v>85</v>
      </c>
      <c r="C33" s="34" t="s">
        <v>526</v>
      </c>
      <c r="D33" s="34" t="s">
        <v>526</v>
      </c>
      <c r="E33" s="35" t="s">
        <v>532</v>
      </c>
    </row>
    <row r="34" spans="1:5" ht="32.25" customHeight="1">
      <c r="A34" s="32" t="s">
        <v>178</v>
      </c>
      <c r="B34" s="33">
        <v>5.8</v>
      </c>
      <c r="C34" s="34" t="s">
        <v>526</v>
      </c>
      <c r="D34" s="34" t="s">
        <v>526</v>
      </c>
      <c r="E34" s="35" t="s">
        <v>538</v>
      </c>
    </row>
    <row r="35" spans="1:5" ht="32.25" customHeight="1">
      <c r="A35" s="32" t="s">
        <v>185</v>
      </c>
      <c r="B35" s="33">
        <v>101</v>
      </c>
      <c r="C35" s="34" t="s">
        <v>526</v>
      </c>
      <c r="D35" s="34" t="s">
        <v>526</v>
      </c>
      <c r="E35" s="35" t="s">
        <v>539</v>
      </c>
    </row>
    <row r="36" spans="1:5" ht="32.25" customHeight="1">
      <c r="A36" s="32" t="s">
        <v>188</v>
      </c>
      <c r="B36" s="33">
        <v>18</v>
      </c>
      <c r="C36" s="34" t="s">
        <v>526</v>
      </c>
      <c r="D36" s="34" t="s">
        <v>526</v>
      </c>
      <c r="E36" s="35" t="s">
        <v>532</v>
      </c>
    </row>
    <row r="37" spans="1:5" ht="32.25" customHeight="1">
      <c r="A37" s="32" t="s">
        <v>191</v>
      </c>
      <c r="B37" s="33">
        <v>0.2</v>
      </c>
      <c r="C37" s="34" t="s">
        <v>526</v>
      </c>
      <c r="D37" s="34" t="s">
        <v>526</v>
      </c>
      <c r="E37" s="35" t="s">
        <v>532</v>
      </c>
    </row>
    <row r="38" spans="1:5" ht="32.25" customHeight="1">
      <c r="A38" s="32" t="s">
        <v>195</v>
      </c>
      <c r="B38" s="33">
        <v>2.4</v>
      </c>
      <c r="C38" s="34" t="s">
        <v>526</v>
      </c>
      <c r="D38" s="34" t="s">
        <v>526</v>
      </c>
      <c r="E38" s="35" t="s">
        <v>532</v>
      </c>
    </row>
    <row r="39" spans="1:5" ht="32.25" customHeight="1">
      <c r="A39" s="32" t="s">
        <v>200</v>
      </c>
      <c r="B39" s="33">
        <v>18</v>
      </c>
      <c r="C39" s="34" t="s">
        <v>526</v>
      </c>
      <c r="D39" s="34" t="s">
        <v>526</v>
      </c>
      <c r="E39" s="35" t="s">
        <v>532</v>
      </c>
    </row>
    <row r="40" spans="1:5" ht="32.25" customHeight="1">
      <c r="A40" s="32" t="s">
        <v>204</v>
      </c>
      <c r="B40" s="33">
        <v>67.02</v>
      </c>
      <c r="C40" s="34" t="s">
        <v>526</v>
      </c>
      <c r="D40" s="34" t="s">
        <v>526</v>
      </c>
      <c r="E40" s="35" t="s">
        <v>532</v>
      </c>
    </row>
    <row r="41" spans="1:5" ht="32.25" customHeight="1">
      <c r="A41" s="32" t="s">
        <v>209</v>
      </c>
      <c r="B41" s="33">
        <v>3</v>
      </c>
      <c r="C41" s="34" t="s">
        <v>526</v>
      </c>
      <c r="D41" s="34" t="s">
        <v>526</v>
      </c>
      <c r="E41" s="35" t="s">
        <v>532</v>
      </c>
    </row>
    <row r="42" spans="1:5" ht="32.25" customHeight="1">
      <c r="A42" s="32" t="s">
        <v>212</v>
      </c>
      <c r="B42" s="33">
        <v>115</v>
      </c>
      <c r="C42" s="34" t="s">
        <v>526</v>
      </c>
      <c r="D42" s="34" t="s">
        <v>526</v>
      </c>
      <c r="E42" s="35" t="s">
        <v>532</v>
      </c>
    </row>
    <row r="43" spans="1:5" ht="32.25" customHeight="1">
      <c r="A43" s="32" t="s">
        <v>217</v>
      </c>
      <c r="B43" s="33">
        <v>91.2</v>
      </c>
      <c r="C43" s="34" t="s">
        <v>526</v>
      </c>
      <c r="D43" s="34" t="s">
        <v>526</v>
      </c>
      <c r="E43" s="35" t="s">
        <v>540</v>
      </c>
    </row>
    <row r="44" spans="1:5" ht="32.25" customHeight="1">
      <c r="A44" s="32" t="s">
        <v>221</v>
      </c>
      <c r="B44" s="33">
        <v>59</v>
      </c>
      <c r="C44" s="34" t="s">
        <v>526</v>
      </c>
      <c r="D44" s="34" t="s">
        <v>526</v>
      </c>
      <c r="E44" s="35" t="s">
        <v>541</v>
      </c>
    </row>
    <row r="45" spans="1:5" ht="32.25" customHeight="1">
      <c r="A45" s="32" t="s">
        <v>223</v>
      </c>
      <c r="B45" s="33">
        <v>140</v>
      </c>
      <c r="C45" s="34" t="s">
        <v>526</v>
      </c>
      <c r="D45" s="34" t="s">
        <v>526</v>
      </c>
      <c r="E45" s="35" t="s">
        <v>532</v>
      </c>
    </row>
    <row r="46" spans="1:5" ht="32.25" customHeight="1">
      <c r="A46" s="32" t="s">
        <v>226</v>
      </c>
      <c r="B46" s="33">
        <v>30</v>
      </c>
      <c r="C46" s="34" t="s">
        <v>526</v>
      </c>
      <c r="D46" s="34" t="s">
        <v>526</v>
      </c>
      <c r="E46" s="35" t="s">
        <v>532</v>
      </c>
    </row>
    <row r="47" spans="1:5" ht="32.25" customHeight="1">
      <c r="A47" s="32" t="s">
        <v>232</v>
      </c>
      <c r="B47" s="33">
        <v>75</v>
      </c>
      <c r="C47" s="34" t="s">
        <v>526</v>
      </c>
      <c r="D47" s="34" t="s">
        <v>526</v>
      </c>
      <c r="E47" s="35" t="s">
        <v>532</v>
      </c>
    </row>
    <row r="48" spans="1:5" ht="32.25" customHeight="1">
      <c r="A48" s="32" t="s">
        <v>235</v>
      </c>
      <c r="B48" s="33">
        <v>1.08</v>
      </c>
      <c r="C48" s="34" t="s">
        <v>526</v>
      </c>
      <c r="D48" s="34" t="s">
        <v>526</v>
      </c>
      <c r="E48" s="35" t="s">
        <v>532</v>
      </c>
    </row>
    <row r="49" spans="1:5" ht="32.25" customHeight="1">
      <c r="A49" s="32" t="s">
        <v>239</v>
      </c>
      <c r="B49" s="33">
        <v>67455</v>
      </c>
      <c r="C49" s="34" t="s">
        <v>526</v>
      </c>
      <c r="D49" s="34" t="s">
        <v>526</v>
      </c>
      <c r="E49" s="35" t="s">
        <v>532</v>
      </c>
    </row>
    <row r="50" spans="1:5" ht="32.25" customHeight="1">
      <c r="A50" s="32" t="s">
        <v>246</v>
      </c>
      <c r="B50" s="33">
        <v>75.2</v>
      </c>
      <c r="C50" s="34" t="s">
        <v>526</v>
      </c>
      <c r="D50" s="34" t="s">
        <v>526</v>
      </c>
      <c r="E50" s="35" t="s">
        <v>532</v>
      </c>
    </row>
    <row r="51" spans="1:5" ht="32.25" customHeight="1">
      <c r="A51" s="32" t="s">
        <v>249</v>
      </c>
      <c r="B51" s="33">
        <v>240</v>
      </c>
      <c r="C51" s="34" t="s">
        <v>526</v>
      </c>
      <c r="D51" s="34" t="s">
        <v>526</v>
      </c>
      <c r="E51" s="35" t="s">
        <v>532</v>
      </c>
    </row>
  </sheetData>
  <mergeCells count="1">
    <mergeCell ref="A1:E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I70"/>
  <sheetViews>
    <sheetView showGridLines="0" zoomScaleNormal="100" workbookViewId="0">
      <pane ySplit="5" topLeftCell="A6" activePane="bottomLeft" state="frozen"/>
      <selection pane="bottomLeft"/>
    </sheetView>
  </sheetViews>
  <sheetFormatPr baseColWidth="10" defaultColWidth="8.6640625" defaultRowHeight="15" customHeight="1"/>
  <cols>
    <col min="1" max="1" width="18" customWidth="1"/>
    <col min="2" max="2" width="24" customWidth="1"/>
    <col min="3" max="3" width="10" customWidth="1"/>
    <col min="4" max="6" width="12" customWidth="1"/>
    <col min="7" max="8" width="14" customWidth="1"/>
  </cols>
  <sheetData>
    <row r="1" spans="1:9" ht="21" customHeight="1">
      <c r="A1" s="79" t="s">
        <v>542</v>
      </c>
      <c r="B1" s="74"/>
      <c r="C1" s="74"/>
      <c r="D1" s="74"/>
      <c r="E1" s="74"/>
      <c r="F1" s="74"/>
      <c r="G1" s="74"/>
      <c r="H1" s="74"/>
      <c r="I1" s="31"/>
    </row>
    <row r="2" spans="1:9" ht="15" customHeight="1">
      <c r="A2" s="31"/>
      <c r="B2" s="31"/>
      <c r="C2" s="31"/>
      <c r="D2" s="31"/>
      <c r="E2" s="31"/>
      <c r="F2" s="31"/>
      <c r="G2" s="31"/>
      <c r="H2" s="31"/>
      <c r="I2" s="31"/>
    </row>
    <row r="3" spans="1:9" ht="15" customHeight="1">
      <c r="A3" s="36" t="s">
        <v>543</v>
      </c>
      <c r="B3" s="31"/>
      <c r="C3" s="31"/>
      <c r="D3" s="31"/>
      <c r="E3" s="31"/>
      <c r="F3" s="31"/>
      <c r="G3" s="31"/>
      <c r="H3" s="31"/>
      <c r="I3" s="31"/>
    </row>
    <row r="4" spans="1:9" ht="15" customHeight="1">
      <c r="A4" s="31"/>
      <c r="B4" s="31"/>
      <c r="C4" s="31"/>
      <c r="D4" s="31"/>
      <c r="E4" s="31"/>
      <c r="F4" s="31"/>
      <c r="G4" s="31"/>
      <c r="H4" s="31"/>
      <c r="I4" s="31"/>
    </row>
    <row r="5" spans="1:9" ht="27.75" customHeight="1">
      <c r="A5" s="28" t="s">
        <v>31</v>
      </c>
      <c r="B5" s="28" t="s">
        <v>33</v>
      </c>
      <c r="C5" s="28" t="s">
        <v>32</v>
      </c>
      <c r="D5" s="28" t="s">
        <v>528</v>
      </c>
      <c r="E5" s="28" t="s">
        <v>544</v>
      </c>
      <c r="F5" s="28" t="s">
        <v>545</v>
      </c>
      <c r="G5" s="28" t="s">
        <v>464</v>
      </c>
      <c r="H5" s="28" t="s">
        <v>546</v>
      </c>
      <c r="I5" s="37" t="s">
        <v>452</v>
      </c>
    </row>
    <row r="6" spans="1:9" ht="68.25" customHeight="1">
      <c r="A6" s="26" t="s">
        <v>40</v>
      </c>
      <c r="B6" s="26" t="str">
        <f>INDEX(Indicators!$C$2:$C$46, MATCH($A6, Indicators!$A$2:$A$46, 0))</f>
        <v>10Y-3M利差（bps）</v>
      </c>
      <c r="C6" s="26" t="str">
        <f>INDEX(Indicators!$B$2:$B$46, MATCH($A6, Indicators!$A$2:$A$46, 0))</f>
        <v>D01</v>
      </c>
      <c r="D6" s="26">
        <f>IFERROR(INDEX(Inputs!$B$7:$B$51, MATCH($A6, Inputs!$A$7:$A$51, 0)),"")</f>
        <v>34</v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>34</v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>66.857142857142861</v>
      </c>
      <c r="G6" s="26">
        <f>IFERROR(INDEX(Indicators!$S$2:$S$46, MATCH($A6, Indicators!$A$2:$A$46, 0)),"")</f>
        <v>0.4</v>
      </c>
      <c r="H6" s="26">
        <f t="shared" ref="H6:H50" si="0">IF($F6="","",$F6*$G6)</f>
        <v>26.742857142857147</v>
      </c>
      <c r="I6" s="26" t="str">
        <f>IFERROR(INDEX(Indicators!$G$2:$G$46, MATCH($A6, Indicators!$A$2:$A$46, 0)),"")</f>
        <v>https://fred.stlouisfed.org/series/DGS10</v>
      </c>
    </row>
    <row r="7" spans="1:9" ht="68.25" customHeight="1">
      <c r="A7" s="26" t="s">
        <v>49</v>
      </c>
      <c r="B7" s="26" t="str">
        <f>INDEX(Indicators!$C$2:$C$46, MATCH($A7, Indicators!$A$2:$A$46, 0))</f>
        <v>SOFR（%）</v>
      </c>
      <c r="C7" s="26" t="str">
        <f>INDEX(Indicators!$B$2:$B$46, MATCH($A7, Indicators!$A$2:$A$46, 0))</f>
        <v>D01</v>
      </c>
      <c r="D7" s="26">
        <f>IFERROR(INDEX(Inputs!$B$7:$B$51, MATCH($A7, Inputs!$A$7:$A$51, 0)),"")</f>
        <v>3.67</v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>3.67</v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>51.230769230769234</v>
      </c>
      <c r="G7" s="26">
        <f>IFERROR(INDEX(Indicators!$S$2:$S$46, MATCH($A7, Indicators!$A$2:$A$46, 0)),"")</f>
        <v>0.25</v>
      </c>
      <c r="H7" s="26">
        <f t="shared" si="0"/>
        <v>12.807692307692308</v>
      </c>
      <c r="I7" s="26" t="str">
        <f>IFERROR(INDEX(Indicators!$G$2:$G$46, MATCH($A7, Indicators!$A$2:$A$46, 0)),"")</f>
        <v>https://fred.stlouisfed.org/series/SOFR</v>
      </c>
    </row>
    <row r="8" spans="1:9" ht="68.25" customHeight="1">
      <c r="A8" s="26" t="s">
        <v>54</v>
      </c>
      <c r="B8" s="26" t="str">
        <f>INDEX(Indicators!$C$2:$C$46, MATCH($A8, Indicators!$A$2:$A$46, 0))</f>
        <v>美联储总资产（$T）</v>
      </c>
      <c r="C8" s="26" t="str">
        <f>INDEX(Indicators!$B$2:$B$46, MATCH($A8, Indicators!$A$2:$A$46, 0))</f>
        <v>D01</v>
      </c>
      <c r="D8" s="26">
        <f>IFERROR(INDEX(Inputs!$B$7:$B$51, MATCH($A8, Inputs!$A$7:$A$51, 0)),"")</f>
        <v>6.6139999999999999</v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>6.6139999999999999</v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>59.650000000000006</v>
      </c>
      <c r="G8" s="26">
        <f>IFERROR(INDEX(Indicators!$S$2:$S$46, MATCH($A8, Indicators!$A$2:$A$46, 0)),"")</f>
        <v>0.15</v>
      </c>
      <c r="H8" s="26">
        <f t="shared" si="0"/>
        <v>8.9474999999999998</v>
      </c>
      <c r="I8" s="26" t="str">
        <f>IFERROR(INDEX(Indicators!$G$2:$G$46, MATCH($A8, Indicators!$A$2:$A$46, 0)),"")</f>
        <v>https://fred.stlouisfed.org/series/WALCL</v>
      </c>
    </row>
    <row r="9" spans="1:9" ht="48" customHeight="1">
      <c r="A9" s="26" t="s">
        <v>61</v>
      </c>
      <c r="B9" s="26" t="str">
        <f>INDEX(Indicators!$C$2:$C$46, MATCH($A9, Indicators!$A$2:$A$46, 0))</f>
        <v>净流动性代理（自定义）</v>
      </c>
      <c r="C9" s="26" t="str">
        <f>INDEX(Indicators!$B$2:$B$46, MATCH($A9, Indicators!$A$2:$A$46, 0))</f>
        <v>D01</v>
      </c>
      <c r="D9" s="26">
        <f>IFERROR(INDEX(Inputs!$B$7:$B$51, MATCH($A9, Inputs!$A$7:$A$51, 0)),"")</f>
        <v>0.15</v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>0.15</v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>57.499999999999993</v>
      </c>
      <c r="G9" s="26">
        <f>IFERROR(INDEX(Indicators!$S$2:$S$46, MATCH($A9, Indicators!$A$2:$A$46, 0)),"")</f>
        <v>0.2</v>
      </c>
      <c r="H9" s="26">
        <f t="shared" si="0"/>
        <v>11.5</v>
      </c>
      <c r="I9" s="26" t="str">
        <f>IFERROR(INDEX(Indicators!$G$2:$G$46, MATCH($A9, Indicators!$A$2:$A$46, 0)),"")</f>
        <v>(填你的来源或模型)</v>
      </c>
    </row>
    <row r="10" spans="1:9" ht="34.5" customHeight="1">
      <c r="A10" s="26" t="s">
        <v>69</v>
      </c>
      <c r="B10" s="26" t="str">
        <f>INDEX(Indicators!$C$2:$C$46, MATCH($A10, Indicators!$A$2:$A$46, 0))</f>
        <v>实际GDP环比折年（%）</v>
      </c>
      <c r="C10" s="26" t="str">
        <f>INDEX(Indicators!$B$2:$B$46, MATCH($A10, Indicators!$A$2:$A$46, 0))</f>
        <v>D02</v>
      </c>
      <c r="D10" s="26">
        <f>IFERROR(INDEX(Inputs!$B$7:$B$51, MATCH($A10, Inputs!$A$7:$A$51, 0)),"")</f>
        <v>1.4</v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>1.4</v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>97.142857142857139</v>
      </c>
      <c r="G10" s="26">
        <f>IFERROR(INDEX(Indicators!$S$2:$S$46, MATCH($A10, Indicators!$A$2:$A$46, 0)),"")</f>
        <v>0.3</v>
      </c>
      <c r="H10" s="26">
        <f t="shared" si="0"/>
        <v>29.142857142857139</v>
      </c>
      <c r="I10" s="26" t="str">
        <f>IFERROR(INDEX(Indicators!$G$2:$G$46, MATCH($A10, Indicators!$A$2:$A$46, 0)),"")</f>
        <v>https://www.bea.gov/</v>
      </c>
    </row>
    <row r="11" spans="1:9" ht="48" customHeight="1">
      <c r="A11" s="26" t="s">
        <v>77</v>
      </c>
      <c r="B11" s="26" t="str">
        <f>INDEX(Indicators!$C$2:$C$46, MATCH($A11, Indicators!$A$2:$A$46, 0))</f>
        <v>制造业PMI</v>
      </c>
      <c r="C11" s="26" t="str">
        <f>INDEX(Indicators!$B$2:$B$46, MATCH($A11, Indicators!$A$2:$A$46, 0))</f>
        <v>D02</v>
      </c>
      <c r="D11" s="26">
        <f>IFERROR(INDEX(Inputs!$B$7:$B$51, MATCH($A11, Inputs!$A$7:$A$51, 0)),"")</f>
        <v>52.5</v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>52.5</v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>100</v>
      </c>
      <c r="G11" s="26">
        <f>IFERROR(INDEX(Indicators!$S$2:$S$46, MATCH($A11, Indicators!$A$2:$A$46, 0)),"")</f>
        <v>0.25</v>
      </c>
      <c r="H11" s="26">
        <f t="shared" si="0"/>
        <v>25</v>
      </c>
      <c r="I11" s="26" t="str">
        <f>IFERROR(INDEX(Indicators!$G$2:$G$46, MATCH($A11, Indicators!$A$2:$A$46, 0)),"")</f>
        <v>(填你使用的PMI来源)</v>
      </c>
    </row>
    <row r="12" spans="1:9" ht="57" customHeight="1">
      <c r="A12" s="26" t="s">
        <v>84</v>
      </c>
      <c r="B12" s="26" t="str">
        <f>INDEX(Indicators!$C$2:$C$46, MATCH($A12, Indicators!$A$2:$A$46, 0))</f>
        <v>初请失业金四周均值</v>
      </c>
      <c r="C12" s="26" t="str">
        <f>INDEX(Indicators!$B$2:$B$46, MATCH($A12, Indicators!$A$2:$A$46, 0))</f>
        <v>D02</v>
      </c>
      <c r="D12" s="26">
        <f>IFERROR(INDEX(Inputs!$B$7:$B$51, MATCH($A12, Inputs!$A$7:$A$51, 0)),"")</f>
        <v>225</v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>225</v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>79.545454545454547</v>
      </c>
      <c r="G12" s="26">
        <f>IFERROR(INDEX(Indicators!$S$2:$S$46, MATCH($A12, Indicators!$A$2:$A$46, 0)),"")</f>
        <v>0.25</v>
      </c>
      <c r="H12" s="26">
        <f t="shared" si="0"/>
        <v>19.886363636363637</v>
      </c>
      <c r="I12" s="26" t="str">
        <f>IFERROR(INDEX(Indicators!$G$2:$G$46, MATCH($A12, Indicators!$A$2:$A$46, 0)),"")</f>
        <v>https://fred.stlouisfed.org/series/IC4WSA</v>
      </c>
    </row>
    <row r="13" spans="1:9" ht="57" customHeight="1">
      <c r="A13" s="26" t="s">
        <v>89</v>
      </c>
      <c r="B13" s="26" t="str">
        <f>INDEX(Indicators!$C$2:$C$46, MATCH($A13, Indicators!$A$2:$A$46, 0))</f>
        <v>领先指标（LEI）同比（%）</v>
      </c>
      <c r="C13" s="26" t="str">
        <f>INDEX(Indicators!$B$2:$B$46, MATCH($A13, Indicators!$A$2:$A$46, 0))</f>
        <v>D02</v>
      </c>
      <c r="D13" s="26">
        <f>IFERROR(INDEX(Inputs!$B$7:$B$51, MATCH($A13, Inputs!$A$7:$A$51, 0)),"")</f>
        <v>-0.8</v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>-0.8</v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>61.333333333333329</v>
      </c>
      <c r="G13" s="26">
        <f>IFERROR(INDEX(Indicators!$S$2:$S$46, MATCH($A13, Indicators!$A$2:$A$46, 0)),"")</f>
        <v>0.2</v>
      </c>
      <c r="H13" s="26">
        <f t="shared" si="0"/>
        <v>12.266666666666666</v>
      </c>
      <c r="I13" s="26" t="str">
        <f>IFERROR(INDEX(Indicators!$G$2:$G$46, MATCH($A13, Indicators!$A$2:$A$46, 0)),"")</f>
        <v>https://www.conference-board.org/</v>
      </c>
    </row>
    <row r="14" spans="1:9" ht="68.25" customHeight="1">
      <c r="A14" s="26" t="s">
        <v>94</v>
      </c>
      <c r="B14" s="26" t="str">
        <f>INDEX(Indicators!$C$2:$C$46, MATCH($A14, Indicators!$A$2:$A$46, 0))</f>
        <v>核心CPI同比（%）</v>
      </c>
      <c r="C14" s="26" t="str">
        <f>INDEX(Indicators!$B$2:$B$46, MATCH($A14, Indicators!$A$2:$A$46, 0))</f>
        <v>D03</v>
      </c>
      <c r="D14" s="26">
        <f>IFERROR(INDEX(Inputs!$B$7:$B$51, MATCH($A14, Inputs!$A$7:$A$51, 0)),"")</f>
        <v>2.5</v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>2.5</v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>100</v>
      </c>
      <c r="G14" s="26">
        <f>IFERROR(INDEX(Indicators!$S$2:$S$46, MATCH($A14, Indicators!$A$2:$A$46, 0)),"")</f>
        <v>0.35</v>
      </c>
      <c r="H14" s="26">
        <f t="shared" si="0"/>
        <v>35</v>
      </c>
      <c r="I14" s="26" t="str">
        <f>IFERROR(INDEX(Indicators!$G$2:$G$46, MATCH($A14, Indicators!$A$2:$A$46, 0)),"")</f>
        <v>https://fred.stlouisfed.org/series/CPILFESL</v>
      </c>
    </row>
    <row r="15" spans="1:9" ht="68.25" customHeight="1">
      <c r="A15" s="26" t="s">
        <v>100</v>
      </c>
      <c r="B15" s="26" t="str">
        <f>INDEX(Indicators!$C$2:$C$46, MATCH($A15, Indicators!$A$2:$A$46, 0))</f>
        <v>核心PCE同比（%）</v>
      </c>
      <c r="C15" s="26" t="str">
        <f>INDEX(Indicators!$B$2:$B$46, MATCH($A15, Indicators!$A$2:$A$46, 0))</f>
        <v>D03</v>
      </c>
      <c r="D15" s="26">
        <f>IFERROR(INDEX(Inputs!$B$7:$B$51, MATCH($A15, Inputs!$A$7:$A$51, 0)),"")</f>
        <v>2.6</v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>2.6</v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>95</v>
      </c>
      <c r="G15" s="26">
        <f>IFERROR(INDEX(Indicators!$S$2:$S$46, MATCH($A15, Indicators!$A$2:$A$46, 0)),"")</f>
        <v>0.35</v>
      </c>
      <c r="H15" s="26">
        <f t="shared" si="0"/>
        <v>33.25</v>
      </c>
      <c r="I15" s="26" t="str">
        <f>IFERROR(INDEX(Indicators!$G$2:$G$46, MATCH($A15, Indicators!$A$2:$A$46, 0)),"")</f>
        <v>https://fred.stlouisfed.org/series/PCEPILFE</v>
      </c>
    </row>
    <row r="16" spans="1:9" ht="68.25" customHeight="1">
      <c r="A16" s="26" t="s">
        <v>104</v>
      </c>
      <c r="B16" s="26" t="str">
        <f>INDEX(Indicators!$C$2:$C$46, MATCH($A16, Indicators!$A$2:$A$46, 0))</f>
        <v>5Y5Y通胀预期（%）</v>
      </c>
      <c r="C16" s="26" t="str">
        <f>INDEX(Indicators!$B$2:$B$46, MATCH($A16, Indicators!$A$2:$A$46, 0))</f>
        <v>D03</v>
      </c>
      <c r="D16" s="26">
        <f>IFERROR(INDEX(Inputs!$B$7:$B$51, MATCH($A16, Inputs!$A$7:$A$51, 0)),"")</f>
        <v>2.35</v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>2.35</v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>100</v>
      </c>
      <c r="G16" s="26">
        <f>IFERROR(INDEX(Indicators!$S$2:$S$46, MATCH($A16, Indicators!$A$2:$A$46, 0)),"")</f>
        <v>0.3</v>
      </c>
      <c r="H16" s="26">
        <f t="shared" si="0"/>
        <v>30</v>
      </c>
      <c r="I16" s="26" t="str">
        <f>IFERROR(INDEX(Indicators!$G$2:$G$46, MATCH($A16, Indicators!$A$2:$A$46, 0)),"")</f>
        <v>https://fred.stlouisfed.org/series/T5YIFR</v>
      </c>
    </row>
    <row r="17" spans="1:9" ht="68.25" customHeight="1">
      <c r="A17" s="26" t="s">
        <v>108</v>
      </c>
      <c r="B17" s="26" t="str">
        <f>INDEX(Indicators!$C$2:$C$46, MATCH($A17, Indicators!$A$2:$A$46, 0))</f>
        <v>失业率（%）</v>
      </c>
      <c r="C17" s="26" t="str">
        <f>INDEX(Indicators!$B$2:$B$46, MATCH($A17, Indicators!$A$2:$A$46, 0))</f>
        <v>D04</v>
      </c>
      <c r="D17" s="26">
        <f>IFERROR(INDEX(Inputs!$B$7:$B$51, MATCH($A17, Inputs!$A$7:$A$51, 0)),"")</f>
        <v>4.3</v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>4.3</v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>100</v>
      </c>
      <c r="G17" s="26">
        <f>IFERROR(INDEX(Indicators!$S$2:$S$46, MATCH($A17, Indicators!$A$2:$A$46, 0)),"")</f>
        <v>0.35</v>
      </c>
      <c r="H17" s="26">
        <f t="shared" si="0"/>
        <v>35</v>
      </c>
      <c r="I17" s="26" t="str">
        <f>IFERROR(INDEX(Indicators!$G$2:$G$46, MATCH($A17, Indicators!$A$2:$A$46, 0)),"")</f>
        <v>https://fred.stlouisfed.org/series/UNRATE</v>
      </c>
    </row>
    <row r="18" spans="1:9" ht="79.5" customHeight="1">
      <c r="A18" s="26" t="s">
        <v>112</v>
      </c>
      <c r="B18" s="26" t="str">
        <f>INDEX(Indicators!$C$2:$C$46, MATCH($A18, Indicators!$A$2:$A$46, 0))</f>
        <v>平均时薪同比（%）</v>
      </c>
      <c r="C18" s="26" t="str">
        <f>INDEX(Indicators!$B$2:$B$46, MATCH($A18, Indicators!$A$2:$A$46, 0))</f>
        <v>D04</v>
      </c>
      <c r="D18" s="26">
        <f>IFERROR(INDEX(Inputs!$B$7:$B$51, MATCH($A18, Inputs!$A$7:$A$51, 0)),"")</f>
        <v>3.9</v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>3.9</v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>100</v>
      </c>
      <c r="G18" s="26">
        <f>IFERROR(INDEX(Indicators!$S$2:$S$46, MATCH($A18, Indicators!$A$2:$A$46, 0)),"")</f>
        <v>0.25</v>
      </c>
      <c r="H18" s="26">
        <f t="shared" si="0"/>
        <v>25</v>
      </c>
      <c r="I18" s="26" t="str">
        <f>IFERROR(INDEX(Indicators!$G$2:$G$46, MATCH($A18, Indicators!$A$2:$A$46, 0)),"")</f>
        <v>https://fred.stlouisfed.org/series/CES0500000003</v>
      </c>
    </row>
    <row r="19" spans="1:9" ht="79.5" customHeight="1">
      <c r="A19" s="26" t="s">
        <v>116</v>
      </c>
      <c r="B19" s="26" t="str">
        <f>INDEX(Indicators!$C$2:$C$46, MATCH($A19, Indicators!$A$2:$A$46, 0))</f>
        <v>信用卡拖欠率（%）</v>
      </c>
      <c r="C19" s="26" t="str">
        <f>INDEX(Indicators!$B$2:$B$46, MATCH($A19, Indicators!$A$2:$A$46, 0))</f>
        <v>D04</v>
      </c>
      <c r="D19" s="26">
        <f>IFERROR(INDEX(Inputs!$B$7:$B$51, MATCH($A19, Inputs!$A$7:$A$51, 0)),"")</f>
        <v>2.94</v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>2.94</v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>58.857142857142861</v>
      </c>
      <c r="G19" s="26">
        <f>IFERROR(INDEX(Indicators!$S$2:$S$46, MATCH($A19, Indicators!$A$2:$A$46, 0)),"")</f>
        <v>0.25</v>
      </c>
      <c r="H19" s="26">
        <f t="shared" si="0"/>
        <v>14.714285714285715</v>
      </c>
      <c r="I19" s="26" t="str">
        <f>IFERROR(INDEX(Indicators!$G$2:$G$46, MATCH($A19, Indicators!$A$2:$A$46, 0)),"")</f>
        <v>https://fred.stlouisfed.org/series/DRCCLACBS</v>
      </c>
    </row>
    <row r="20" spans="1:9" ht="68.25" customHeight="1">
      <c r="A20" s="26" t="s">
        <v>120</v>
      </c>
      <c r="B20" s="26" t="str">
        <f>INDEX(Indicators!$C$2:$C$46, MATCH($A20, Indicators!$A$2:$A$46, 0))</f>
        <v>实际可支配收入同比（%）</v>
      </c>
      <c r="C20" s="26" t="str">
        <f>INDEX(Indicators!$B$2:$B$46, MATCH($A20, Indicators!$A$2:$A$46, 0))</f>
        <v>D04</v>
      </c>
      <c r="D20" s="26">
        <f>IFERROR(INDEX(Inputs!$B$7:$B$51, MATCH($A20, Inputs!$A$7:$A$51, 0)),"")</f>
        <v>1.8</v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>1.8</v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>72.5</v>
      </c>
      <c r="G20" s="26">
        <f>IFERROR(INDEX(Indicators!$S$2:$S$46, MATCH($A20, Indicators!$A$2:$A$46, 0)),"")</f>
        <v>0.15</v>
      </c>
      <c r="H20" s="26">
        <f t="shared" si="0"/>
        <v>10.875</v>
      </c>
      <c r="I20" s="26" t="str">
        <f>IFERROR(INDEX(Indicators!$G$2:$G$46, MATCH($A20, Indicators!$A$2:$A$46, 0)),"")</f>
        <v>https://fred.stlouisfed.org/series/DSPIC96</v>
      </c>
    </row>
    <row r="21" spans="1:9" ht="32.25" customHeight="1">
      <c r="A21" s="26" t="s">
        <v>124</v>
      </c>
      <c r="B21" s="26" t="str">
        <f>INDEX(Indicators!$C$2:$C$46, MATCH($A21, Indicators!$A$2:$A$46, 0))</f>
        <v>标普500 Forward P/E（x）</v>
      </c>
      <c r="C21" s="26" t="str">
        <f>INDEX(Indicators!$B$2:$B$46, MATCH($A21, Indicators!$A$2:$A$46, 0))</f>
        <v>D05</v>
      </c>
      <c r="D21" s="26">
        <f>IFERROR(INDEX(Inputs!$B$7:$B$51, MATCH($A21, Inputs!$A$7:$A$51, 0)),"")</f>
        <v>22.17</v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>22.17</v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>41.642857142857132</v>
      </c>
      <c r="G21" s="26">
        <f>IFERROR(INDEX(Indicators!$S$2:$S$46, MATCH($A21, Indicators!$A$2:$A$46, 0)),"")</f>
        <v>0.3</v>
      </c>
      <c r="H21" s="26">
        <f t="shared" si="0"/>
        <v>12.492857142857138</v>
      </c>
      <c r="I21" s="26" t="str">
        <f>IFERROR(INDEX(Indicators!$G$2:$G$46, MATCH($A21, Indicators!$A$2:$A$46, 0)),"")</f>
        <v>(填你的数据源)</v>
      </c>
    </row>
    <row r="22" spans="1:9" ht="32.25" customHeight="1">
      <c r="A22" s="26" t="s">
        <v>130</v>
      </c>
      <c r="B22" s="26" t="str">
        <f>INDEX(Indicators!$C$2:$C$46, MATCH($A22, Indicators!$A$2:$A$46, 0))</f>
        <v>EPS修正广度（上调-下调，%）</v>
      </c>
      <c r="C22" s="26" t="str">
        <f>INDEX(Indicators!$B$2:$B$46, MATCH($A22, Indicators!$A$2:$A$46, 0))</f>
        <v>D05</v>
      </c>
      <c r="D22" s="26">
        <f>IFERROR(INDEX(Inputs!$B$7:$B$51, MATCH($A22, Inputs!$A$7:$A$51, 0)),"")</f>
        <v>-8</v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>-8</v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>36.666666666666664</v>
      </c>
      <c r="G22" s="26">
        <f>IFERROR(INDEX(Indicators!$S$2:$S$46, MATCH($A22, Indicators!$A$2:$A$46, 0)),"")</f>
        <v>0.35</v>
      </c>
      <c r="H22" s="26">
        <f t="shared" si="0"/>
        <v>12.833333333333332</v>
      </c>
      <c r="I22" s="26" t="str">
        <f>IFERROR(INDEX(Indicators!$G$2:$G$46, MATCH($A22, Indicators!$A$2:$A$46, 0)),"")</f>
        <v>(填你的数据源)</v>
      </c>
    </row>
    <row r="23" spans="1:9" ht="79.5" customHeight="1">
      <c r="A23" s="26" t="s">
        <v>134</v>
      </c>
      <c r="B23" s="26" t="str">
        <f>INDEX(Indicators!$C$2:$C$46, MATCH($A23, Indicators!$A$2:$A$46, 0))</f>
        <v>高收益信用利差OAS（bps）</v>
      </c>
      <c r="C23" s="26" t="str">
        <f>INDEX(Indicators!$B$2:$B$46, MATCH($A23, Indicators!$A$2:$A$46, 0))</f>
        <v>D05</v>
      </c>
      <c r="D23" s="26">
        <f>IFERROR(INDEX(Inputs!$B$7:$B$51, MATCH($A23, Inputs!$A$7:$A$51, 0)),"")</f>
        <v>335</v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>335</v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>86.92307692307692</v>
      </c>
      <c r="G23" s="26">
        <f>IFERROR(INDEX(Indicators!$S$2:$S$46, MATCH($A23, Indicators!$A$2:$A$46, 0)),"")</f>
        <v>0.35</v>
      </c>
      <c r="H23" s="26">
        <f t="shared" si="0"/>
        <v>30.42307692307692</v>
      </c>
      <c r="I23" s="26" t="str">
        <f>IFERROR(INDEX(Indicators!$G$2:$G$46, MATCH($A23, Indicators!$A$2:$A$46, 0)),"")</f>
        <v>https://fred.stlouisfed.org/series/BAMLH0A0HYM2</v>
      </c>
    </row>
    <row r="24" spans="1:9" ht="57" customHeight="1">
      <c r="A24" s="26" t="s">
        <v>138</v>
      </c>
      <c r="B24" s="26" t="str">
        <f>INDEX(Indicators!$C$2:$C$46, MATCH($A24, Indicators!$A$2:$A$46, 0))</f>
        <v>30年按揭利率（%）</v>
      </c>
      <c r="C24" s="26" t="str">
        <f>INDEX(Indicators!$B$2:$B$46, MATCH($A24, Indicators!$A$2:$A$46, 0))</f>
        <v>D06</v>
      </c>
      <c r="D24" s="26">
        <f>IFERROR(INDEX(Inputs!$B$7:$B$51, MATCH($A24, Inputs!$A$7:$A$51, 0)),"")</f>
        <v>5.98</v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>5.98</v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>45.818181818181806</v>
      </c>
      <c r="G24" s="26">
        <f>IFERROR(INDEX(Indicators!$S$2:$S$46, MATCH($A24, Indicators!$A$2:$A$46, 0)),"")</f>
        <v>0.35</v>
      </c>
      <c r="H24" s="26">
        <f t="shared" si="0"/>
        <v>16.036363636363632</v>
      </c>
      <c r="I24" s="26" t="str">
        <f>IFERROR(INDEX(Indicators!$G$2:$G$46, MATCH($A24, Indicators!$A$2:$A$46, 0)),"")</f>
        <v>https://www.freddiemac.com/pmms</v>
      </c>
    </row>
    <row r="25" spans="1:9" ht="34.5" customHeight="1">
      <c r="A25" s="26" t="s">
        <v>144</v>
      </c>
      <c r="B25" s="26" t="str">
        <f>INDEX(Indicators!$C$2:$C$46, MATCH($A25, Indicators!$A$2:$A$46, 0))</f>
        <v>成屋销售折年（百万套）</v>
      </c>
      <c r="C25" s="26" t="str">
        <f>INDEX(Indicators!$B$2:$B$46, MATCH($A25, Indicators!$A$2:$A$46, 0))</f>
        <v>D06</v>
      </c>
      <c r="D25" s="26">
        <f>IFERROR(INDEX(Inputs!$B$7:$B$51, MATCH($A25, Inputs!$A$7:$A$51, 0)),"")</f>
        <v>3.91</v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>3.91</v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>30.333333333333339</v>
      </c>
      <c r="G25" s="26">
        <f>IFERROR(INDEX(Indicators!$S$2:$S$46, MATCH($A25, Indicators!$A$2:$A$46, 0)),"")</f>
        <v>0.35</v>
      </c>
      <c r="H25" s="26">
        <f t="shared" si="0"/>
        <v>10.616666666666669</v>
      </c>
      <c r="I25" s="26" t="str">
        <f>IFERROR(INDEX(Indicators!$G$2:$G$46, MATCH($A25, Indicators!$A$2:$A$46, 0)),"")</f>
        <v>https://www.nar.realtor/</v>
      </c>
    </row>
    <row r="26" spans="1:9" ht="68.25" customHeight="1">
      <c r="A26" s="26" t="s">
        <v>150</v>
      </c>
      <c r="B26" s="26" t="str">
        <f>INDEX(Indicators!$C$2:$C$46, MATCH($A26, Indicators!$A$2:$A$46, 0))</f>
        <v>新屋开工（百万套）</v>
      </c>
      <c r="C26" s="26" t="str">
        <f>INDEX(Indicators!$B$2:$B$46, MATCH($A26, Indicators!$A$2:$A$46, 0))</f>
        <v>D06</v>
      </c>
      <c r="D26" s="26">
        <f>IFERROR(INDEX(Inputs!$B$7:$B$51, MATCH($A26, Inputs!$A$7:$A$51, 0)),"")</f>
        <v>1.37</v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>1.37</v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>52.222222222222229</v>
      </c>
      <c r="G26" s="26">
        <f>IFERROR(INDEX(Indicators!$S$2:$S$46, MATCH($A26, Indicators!$A$2:$A$46, 0)),"")</f>
        <v>0.3</v>
      </c>
      <c r="H26" s="26">
        <f t="shared" si="0"/>
        <v>15.666666666666668</v>
      </c>
      <c r="I26" s="26" t="str">
        <f>IFERROR(INDEX(Indicators!$G$2:$G$46, MATCH($A26, Indicators!$A$2:$A$46, 0)),"")</f>
        <v>https://fred.stlouisfed.org/series/HOUST</v>
      </c>
    </row>
    <row r="27" spans="1:9" ht="68.25" customHeight="1">
      <c r="A27" s="26" t="s">
        <v>155</v>
      </c>
      <c r="B27" s="26" t="str">
        <f>INDEX(Indicators!$C$2:$C$46, MATCH($A27, Indicators!$A$2:$A$46, 0))</f>
        <v>VIX</v>
      </c>
      <c r="C27" s="26" t="str">
        <f>INDEX(Indicators!$B$2:$B$46, MATCH($A27, Indicators!$A$2:$A$46, 0))</f>
        <v>D07</v>
      </c>
      <c r="D27" s="26">
        <f>IFERROR(INDEX(Inputs!$B$7:$B$51, MATCH($A27, Inputs!$A$7:$A$51, 0)),"")</f>
        <v>18.63</v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>18.63</v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>79.909090909090907</v>
      </c>
      <c r="G27" s="26">
        <f>IFERROR(INDEX(Indicators!$S$2:$S$46, MATCH($A27, Indicators!$A$2:$A$46, 0)),"")</f>
        <v>0.4</v>
      </c>
      <c r="H27" s="26">
        <f t="shared" si="0"/>
        <v>31.963636363636365</v>
      </c>
      <c r="I27" s="26" t="str">
        <f>IFERROR(INDEX(Indicators!$G$2:$G$46, MATCH($A27, Indicators!$A$2:$A$46, 0)),"")</f>
        <v>https://fred.stlouisfed.org/series/VIXCLS</v>
      </c>
    </row>
    <row r="28" spans="1:9" ht="63.75" customHeight="1">
      <c r="A28" s="26" t="s">
        <v>160</v>
      </c>
      <c r="B28" s="26" t="str">
        <f>INDEX(Indicators!$C$2:$C$46, MATCH($A28, Indicators!$A$2:$A$46, 0))</f>
        <v>MOVE</v>
      </c>
      <c r="C28" s="26" t="str">
        <f>INDEX(Indicators!$B$2:$B$46, MATCH($A28, Indicators!$A$2:$A$46, 0))</f>
        <v>D07</v>
      </c>
      <c r="D28" s="26">
        <f>IFERROR(INDEX(Inputs!$B$7:$B$51, MATCH($A28, Inputs!$A$7:$A$51, 0)),"")</f>
        <v>73.38</v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>73.38</v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>86.62</v>
      </c>
      <c r="G28" s="26">
        <f>IFERROR(INDEX(Indicators!$S$2:$S$46, MATCH($A28, Indicators!$A$2:$A$46, 0)),"")</f>
        <v>0.35</v>
      </c>
      <c r="H28" s="26">
        <f t="shared" si="0"/>
        <v>30.317</v>
      </c>
      <c r="I28" s="26" t="str">
        <f>IFERROR(INDEX(Indicators!$G$2:$G$46, MATCH($A28, Indicators!$A$2:$A$46, 0)),"")</f>
        <v>(填你使用的MOVE来源)</v>
      </c>
    </row>
    <row r="29" spans="1:9" ht="32.25" customHeight="1">
      <c r="A29" s="26" t="s">
        <v>162</v>
      </c>
      <c r="B29" s="26" t="str">
        <f>INDEX(Indicators!$C$2:$C$46, MATCH($A29, Indicators!$A$2:$A$46, 0))</f>
        <v>标普500近3个月最大回撤（%）</v>
      </c>
      <c r="C29" s="26" t="str">
        <f>INDEX(Indicators!$B$2:$B$46, MATCH($A29, Indicators!$A$2:$A$46, 0))</f>
        <v>D07</v>
      </c>
      <c r="D29" s="26">
        <f>IFERROR(INDEX(Inputs!$B$7:$B$51, MATCH($A29, Inputs!$A$7:$A$51, 0)),"")</f>
        <v>-4.5</v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>-4.5</v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>100</v>
      </c>
      <c r="G29" s="26">
        <f>IFERROR(INDEX(Indicators!$S$2:$S$46, MATCH($A29, Indicators!$A$2:$A$46, 0)),"")</f>
        <v>0.25</v>
      </c>
      <c r="H29" s="26">
        <f t="shared" si="0"/>
        <v>25</v>
      </c>
      <c r="I29" s="26" t="str">
        <f>IFERROR(INDEX(Indicators!$G$2:$G$46, MATCH($A29, Indicators!$A$2:$A$46, 0)),"")</f>
        <v>(填你的来源)</v>
      </c>
    </row>
    <row r="30" spans="1:9" ht="32.25" customHeight="1">
      <c r="A30" s="26" t="s">
        <v>166</v>
      </c>
      <c r="B30" s="26" t="str">
        <f>INDEX(Indicators!$C$2:$C$46, MATCH($A30, Indicators!$A$2:$A$46, 0))</f>
        <v>美元指数DXY</v>
      </c>
      <c r="C30" s="26" t="str">
        <f>INDEX(Indicators!$B$2:$B$46, MATCH($A30, Indicators!$A$2:$A$46, 0))</f>
        <v>D08</v>
      </c>
      <c r="D30" s="26">
        <f>IFERROR(INDEX(Inputs!$B$7:$B$51, MATCH($A30, Inputs!$A$7:$A$51, 0)),"")</f>
        <v>97.65</v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>97.65</v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>100</v>
      </c>
      <c r="G30" s="26">
        <f>IFERROR(INDEX(Indicators!$S$2:$S$46, MATCH($A30, Indicators!$A$2:$A$46, 0)),"")</f>
        <v>0.35</v>
      </c>
      <c r="H30" s="26">
        <f t="shared" si="0"/>
        <v>35</v>
      </c>
      <c r="I30" s="26" t="str">
        <f>IFERROR(INDEX(Indicators!$G$2:$G$46, MATCH($A30, Indicators!$A$2:$A$46, 0)),"")</f>
        <v>(填你来源)</v>
      </c>
    </row>
    <row r="31" spans="1:9" ht="32.25" customHeight="1">
      <c r="A31" s="26" t="s">
        <v>170</v>
      </c>
      <c r="B31" s="26" t="str">
        <f>INDEX(Indicators!$C$2:$C$46, MATCH($A31, Indicators!$A$2:$A$46, 0))</f>
        <v>美日10Y利差（bps）</v>
      </c>
      <c r="C31" s="26" t="str">
        <f>INDEX(Indicators!$B$2:$B$46, MATCH($A31, Indicators!$A$2:$A$46, 0))</f>
        <v>D08</v>
      </c>
      <c r="D31" s="26">
        <f>IFERROR(INDEX(Inputs!$B$7:$B$51, MATCH($A31, Inputs!$A$7:$A$51, 0)),"")</f>
        <v>187</v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>187</v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>74.8</v>
      </c>
      <c r="G31" s="26">
        <f>IFERROR(INDEX(Indicators!$S$2:$S$46, MATCH($A31, Indicators!$A$2:$A$46, 0)),"")</f>
        <v>0.35</v>
      </c>
      <c r="H31" s="26">
        <f t="shared" si="0"/>
        <v>26.179999999999996</v>
      </c>
      <c r="I31" s="26" t="str">
        <f>IFERROR(INDEX(Indicators!$G$2:$G$46, MATCH($A31, Indicators!$A$2:$A$46, 0)),"")</f>
        <v>(填你来源)</v>
      </c>
    </row>
    <row r="32" spans="1:9" ht="32.25" customHeight="1">
      <c r="A32" s="26" t="s">
        <v>173</v>
      </c>
      <c r="B32" s="26" t="str">
        <f>INDEX(Indicators!$C$2:$C$46, MATCH($A32, Indicators!$A$2:$A$46, 0))</f>
        <v>海外净买入美国资产（自定义）</v>
      </c>
      <c r="C32" s="26" t="str">
        <f>INDEX(Indicators!$B$2:$B$46, MATCH($A32, Indicators!$A$2:$A$46, 0))</f>
        <v>D08</v>
      </c>
      <c r="D32" s="26">
        <f>IFERROR(INDEX(Inputs!$B$7:$B$51, MATCH($A32, Inputs!$A$7:$A$51, 0)),"")</f>
        <v>85</v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>85</v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>100</v>
      </c>
      <c r="G32" s="26">
        <f>IFERROR(INDEX(Indicators!$S$2:$S$46, MATCH($A32, Indicators!$A$2:$A$46, 0)),"")</f>
        <v>0.3</v>
      </c>
      <c r="H32" s="26">
        <f t="shared" si="0"/>
        <v>30</v>
      </c>
      <c r="I32" s="26" t="str">
        <f>IFERROR(INDEX(Indicators!$G$2:$G$46, MATCH($A32, Indicators!$A$2:$A$46, 0)),"")</f>
        <v>(填你的来源)</v>
      </c>
    </row>
    <row r="33" spans="1:9" ht="68.25" customHeight="1">
      <c r="A33" s="26" t="s">
        <v>178</v>
      </c>
      <c r="B33" s="26" t="str">
        <f>INDEX(Indicators!$C$2:$C$46, MATCH($A33, Indicators!$A$2:$A$46, 0))</f>
        <v>财政赤字/GDP（%）</v>
      </c>
      <c r="C33" s="26" t="str">
        <f>INDEX(Indicators!$B$2:$B$46, MATCH($A33, Indicators!$A$2:$A$46, 0))</f>
        <v>D09</v>
      </c>
      <c r="D33" s="26">
        <f>IFERROR(INDEX(Inputs!$B$7:$B$51, MATCH($A33, Inputs!$A$7:$A$51, 0)),"")</f>
        <v>5.8</v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>5.8</v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>52.5</v>
      </c>
      <c r="G33" s="26">
        <f>IFERROR(INDEX(Indicators!$S$2:$S$46, MATCH($A33, Indicators!$A$2:$A$46, 0)),"")</f>
        <v>0.45</v>
      </c>
      <c r="H33" s="26">
        <f t="shared" si="0"/>
        <v>23.625</v>
      </c>
      <c r="I33" s="26" t="str">
        <f>IFERROR(INDEX(Indicators!$G$2:$G$46, MATCH($A33, Indicators!$A$2:$A$46, 0)),"")</f>
        <v>https://www.cbo.gov/publication/62105</v>
      </c>
    </row>
    <row r="34" spans="1:9" ht="68.25" customHeight="1">
      <c r="A34" s="26" t="s">
        <v>185</v>
      </c>
      <c r="B34" s="26" t="str">
        <f>INDEX(Indicators!$C$2:$C$46, MATCH($A34, Indicators!$A$2:$A$46, 0))</f>
        <v>债务/GDP（%）</v>
      </c>
      <c r="C34" s="26" t="str">
        <f>INDEX(Indicators!$B$2:$B$46, MATCH($A34, Indicators!$A$2:$A$46, 0))</f>
        <v>D09</v>
      </c>
      <c r="D34" s="26">
        <f>IFERROR(INDEX(Inputs!$B$7:$B$51, MATCH($A34, Inputs!$A$7:$A$51, 0)),"")</f>
        <v>101</v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>101</v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>48.75</v>
      </c>
      <c r="G34" s="26">
        <f>IFERROR(INDEX(Indicators!$S$2:$S$46, MATCH($A34, Indicators!$A$2:$A$46, 0)),"")</f>
        <v>0.3</v>
      </c>
      <c r="H34" s="26">
        <f t="shared" si="0"/>
        <v>14.625</v>
      </c>
      <c r="I34" s="26" t="str">
        <f>IFERROR(INDEX(Indicators!$G$2:$G$46, MATCH($A34, Indicators!$A$2:$A$46, 0)),"")</f>
        <v>https://www.cbo.gov/publication/62105</v>
      </c>
    </row>
    <row r="35" spans="1:9" ht="32.25" customHeight="1">
      <c r="A35" s="26" t="s">
        <v>188</v>
      </c>
      <c r="B35" s="26" t="str">
        <f>INDEX(Indicators!$C$2:$C$46, MATCH($A35, Indicators!$A$2:$A$46, 0))</f>
        <v>利息支出/财政收入（%）</v>
      </c>
      <c r="C35" s="26" t="str">
        <f>INDEX(Indicators!$B$2:$B$46, MATCH($A35, Indicators!$A$2:$A$46, 0))</f>
        <v>D09</v>
      </c>
      <c r="D35" s="26">
        <f>IFERROR(INDEX(Inputs!$B$7:$B$51, MATCH($A35, Inputs!$A$7:$A$51, 0)),"")</f>
        <v>18</v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>18</v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>41.17647058823529</v>
      </c>
      <c r="G35" s="26">
        <f>IFERROR(INDEX(Indicators!$S$2:$S$46, MATCH($A35, Indicators!$A$2:$A$46, 0)),"")</f>
        <v>0.25</v>
      </c>
      <c r="H35" s="26">
        <f t="shared" si="0"/>
        <v>10.294117647058822</v>
      </c>
      <c r="I35" s="26" t="str">
        <f>IFERROR(INDEX(Indicators!$G$2:$G$46, MATCH($A35, Indicators!$A$2:$A$46, 0)),"")</f>
        <v>(填你的来源)</v>
      </c>
    </row>
    <row r="36" spans="1:9" ht="32.25" customHeight="1">
      <c r="A36" s="26" t="s">
        <v>191</v>
      </c>
      <c r="B36" s="26" t="str">
        <f>INDEX(Indicators!$C$2:$C$46, MATCH($A36, Indicators!$A$2:$A$46, 0))</f>
        <v>金融条件指数（FCI）</v>
      </c>
      <c r="C36" s="26" t="str">
        <f>INDEX(Indicators!$B$2:$B$46, MATCH($A36, Indicators!$A$2:$A$46, 0))</f>
        <v>D10</v>
      </c>
      <c r="D36" s="26">
        <f>IFERROR(INDEX(Inputs!$B$7:$B$51, MATCH($A36, Inputs!$A$7:$A$51, 0)),"")</f>
        <v>0.2</v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>0.2</v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>52</v>
      </c>
      <c r="G36" s="26">
        <f>IFERROR(INDEX(Indicators!$S$2:$S$46, MATCH($A36, Indicators!$A$2:$A$46, 0)),"")</f>
        <v>0.4</v>
      </c>
      <c r="H36" s="26">
        <f t="shared" si="0"/>
        <v>20.8</v>
      </c>
      <c r="I36" s="26" t="str">
        <f>IFERROR(INDEX(Indicators!$G$2:$G$46, MATCH($A36, Indicators!$A$2:$A$46, 0)),"")</f>
        <v>(填你来源)</v>
      </c>
    </row>
    <row r="37" spans="1:9" ht="32.25" customHeight="1">
      <c r="A37" s="26" t="s">
        <v>195</v>
      </c>
      <c r="B37" s="26" t="str">
        <f>INDEX(Indicators!$C$2:$C$46, MATCH($A37, Indicators!$A$2:$A$46, 0))</f>
        <v>银行信贷增速（% YoY）</v>
      </c>
      <c r="C37" s="26" t="str">
        <f>INDEX(Indicators!$B$2:$B$46, MATCH($A37, Indicators!$A$2:$A$46, 0))</f>
        <v>D10</v>
      </c>
      <c r="D37" s="26">
        <f>IFERROR(INDEX(Inputs!$B$7:$B$51, MATCH($A37, Inputs!$A$7:$A$51, 0)),"")</f>
        <v>2.4</v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>2.4</v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>100</v>
      </c>
      <c r="G37" s="26">
        <f>IFERROR(INDEX(Indicators!$S$2:$S$46, MATCH($A37, Indicators!$A$2:$A$46, 0)),"")</f>
        <v>0.35</v>
      </c>
      <c r="H37" s="26">
        <f t="shared" si="0"/>
        <v>35</v>
      </c>
      <c r="I37" s="26" t="str">
        <f>IFERROR(INDEX(Indicators!$G$2:$G$46, MATCH($A37, Indicators!$A$2:$A$46, 0)),"")</f>
        <v>(填你来源)</v>
      </c>
    </row>
    <row r="38" spans="1:9" ht="68.25" customHeight="1">
      <c r="A38" s="26" t="s">
        <v>200</v>
      </c>
      <c r="B38" s="26" t="str">
        <f>INDEX(Indicators!$C$2:$C$46, MATCH($A38, Indicators!$A$2:$A$46, 0))</f>
        <v>TED利差（bps）</v>
      </c>
      <c r="C38" s="26" t="str">
        <f>INDEX(Indicators!$B$2:$B$46, MATCH($A38, Indicators!$A$2:$A$46, 0))</f>
        <v>D10</v>
      </c>
      <c r="D38" s="26">
        <f>IFERROR(INDEX(Inputs!$B$7:$B$51, MATCH($A38, Inputs!$A$7:$A$51, 0)),"")</f>
        <v>18</v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>18</v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>100</v>
      </c>
      <c r="G38" s="26">
        <f>IFERROR(INDEX(Indicators!$S$2:$S$46, MATCH($A38, Indicators!$A$2:$A$46, 0)),"")</f>
        <v>0.25</v>
      </c>
      <c r="H38" s="26">
        <f t="shared" si="0"/>
        <v>25</v>
      </c>
      <c r="I38" s="26" t="str">
        <f>IFERROR(INDEX(Indicators!$G$2:$G$46, MATCH($A38, Indicators!$A$2:$A$46, 0)),"")</f>
        <v>https://fred.stlouisfed.org/series/TEDRATE</v>
      </c>
    </row>
    <row r="39" spans="1:9" ht="32.25" customHeight="1">
      <c r="A39" s="26" t="s">
        <v>204</v>
      </c>
      <c r="B39" s="26" t="str">
        <f>INDEX(Indicators!$C$2:$C$46, MATCH($A39, Indicators!$A$2:$A$46, 0))</f>
        <v>WTI原油（$/桶）</v>
      </c>
      <c r="C39" s="26" t="str">
        <f>INDEX(Indicators!$B$2:$B$46, MATCH($A39, Indicators!$A$2:$A$46, 0))</f>
        <v>D11</v>
      </c>
      <c r="D39" s="26">
        <f>IFERROR(INDEX(Inputs!$B$7:$B$51, MATCH($A39, Inputs!$A$7:$A$51, 0)),"")</f>
        <v>67.02</v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>67.02</v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>100</v>
      </c>
      <c r="G39" s="26">
        <f>IFERROR(INDEX(Indicators!$S$2:$S$46, MATCH($A39, Indicators!$A$2:$A$46, 0)),"")</f>
        <v>0.4</v>
      </c>
      <c r="H39" s="26">
        <f t="shared" si="0"/>
        <v>40</v>
      </c>
      <c r="I39" s="26" t="str">
        <f>IFERROR(INDEX(Indicators!$G$2:$G$46, MATCH($A39, Indicators!$A$2:$A$46, 0)),"")</f>
        <v>(填你来源)</v>
      </c>
    </row>
    <row r="40" spans="1:9" ht="32.25" customHeight="1">
      <c r="A40" s="26" t="s">
        <v>209</v>
      </c>
      <c r="B40" s="26" t="str">
        <f>INDEX(Indicators!$C$2:$C$46, MATCH($A40, Indicators!$A$2:$A$46, 0))</f>
        <v>大宗商品指数（CRB）同比（%）</v>
      </c>
      <c r="C40" s="26" t="str">
        <f>INDEX(Indicators!$B$2:$B$46, MATCH($A40, Indicators!$A$2:$A$46, 0))</f>
        <v>D11</v>
      </c>
      <c r="D40" s="26">
        <f>IFERROR(INDEX(Inputs!$B$7:$B$51, MATCH($A40, Inputs!$A$7:$A$51, 0)),"")</f>
        <v>3</v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>3</v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>100</v>
      </c>
      <c r="G40" s="26">
        <f>IFERROR(INDEX(Indicators!$S$2:$S$46, MATCH($A40, Indicators!$A$2:$A$46, 0)),"")</f>
        <v>0.3</v>
      </c>
      <c r="H40" s="26">
        <f t="shared" si="0"/>
        <v>30</v>
      </c>
      <c r="I40" s="26" t="str">
        <f>IFERROR(INDEX(Indicators!$G$2:$G$46, MATCH($A40, Indicators!$A$2:$A$46, 0)),"")</f>
        <v>(填你来源)</v>
      </c>
    </row>
    <row r="41" spans="1:9" ht="57" customHeight="1">
      <c r="A41" s="26" t="s">
        <v>212</v>
      </c>
      <c r="B41" s="26" t="str">
        <f>INDEX(Indicators!$C$2:$C$46, MATCH($A41, Indicators!$A$2:$A$46, 0))</f>
        <v>地缘政治风险指数（GPR）</v>
      </c>
      <c r="C41" s="26" t="str">
        <f>INDEX(Indicators!$B$2:$B$46, MATCH($A41, Indicators!$A$2:$A$46, 0))</f>
        <v>D11</v>
      </c>
      <c r="D41" s="26">
        <f>IFERROR(INDEX(Inputs!$B$7:$B$51, MATCH($A41, Inputs!$A$7:$A$51, 0)),"")</f>
        <v>115</v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>115</v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>79.411764705882348</v>
      </c>
      <c r="G41" s="26">
        <f>IFERROR(INDEX(Indicators!$S$2:$S$46, MATCH($A41, Indicators!$A$2:$A$46, 0)),"")</f>
        <v>0.3</v>
      </c>
      <c r="H41" s="26">
        <f t="shared" si="0"/>
        <v>23.823529411764703</v>
      </c>
      <c r="I41" s="26" t="str">
        <f>IFERROR(INDEX(Indicators!$G$2:$G$46, MATCH($A41, Indicators!$A$2:$A$46, 0)),"")</f>
        <v>https://www.matteoiacoviello.com/gpr.htm</v>
      </c>
    </row>
    <row r="42" spans="1:9" ht="57" customHeight="1">
      <c r="A42" s="26" t="s">
        <v>217</v>
      </c>
      <c r="B42" s="26" t="str">
        <f>INDEX(Indicators!$C$2:$C$46, MATCH($A42, Indicators!$A$2:$A$46, 0))</f>
        <v>消费者信心指数</v>
      </c>
      <c r="C42" s="26" t="str">
        <f>INDEX(Indicators!$B$2:$B$46, MATCH($A42, Indicators!$A$2:$A$46, 0))</f>
        <v>D12</v>
      </c>
      <c r="D42" s="26">
        <f>IFERROR(INDEX(Inputs!$B$7:$B$51, MATCH($A42, Inputs!$A$7:$A$51, 0)),"")</f>
        <v>91.2</v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>91.2</v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>52</v>
      </c>
      <c r="G42" s="26">
        <f>IFERROR(INDEX(Indicators!$S$2:$S$46, MATCH($A42, Indicators!$A$2:$A$46, 0)),"")</f>
        <v>0.45</v>
      </c>
      <c r="H42" s="26">
        <f t="shared" si="0"/>
        <v>23.400000000000002</v>
      </c>
      <c r="I42" s="26" t="str">
        <f>IFERROR(INDEX(Indicators!$G$2:$G$46, MATCH($A42, Indicators!$A$2:$A$46, 0)),"")</f>
        <v>https://www.conference-board.org/</v>
      </c>
    </row>
    <row r="43" spans="1:9" ht="102" customHeight="1">
      <c r="A43" s="26" t="s">
        <v>221</v>
      </c>
      <c r="B43" s="26" t="str">
        <f>INDEX(Indicators!$C$2:$C$46, MATCH($A43, Indicators!$A$2:$A$46, 0))</f>
        <v>CEO Confidence</v>
      </c>
      <c r="C43" s="26" t="str">
        <f>INDEX(Indicators!$B$2:$B$46, MATCH($A43, Indicators!$A$2:$A$46, 0))</f>
        <v>D12</v>
      </c>
      <c r="D43" s="26">
        <f>IFERROR(INDEX(Inputs!$B$7:$B$51, MATCH($A43, Inputs!$A$7:$A$51, 0)),"")</f>
        <v>59</v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>59</v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>68.571428571428569</v>
      </c>
      <c r="G43" s="26">
        <f>IFERROR(INDEX(Indicators!$S$2:$S$46, MATCH($A43, Indicators!$A$2:$A$46, 0)),"")</f>
        <v>0.35</v>
      </c>
      <c r="H43" s="26">
        <f t="shared" si="0"/>
        <v>23.999999999999996</v>
      </c>
      <c r="I43" s="26" t="str">
        <f>IFERROR(INDEX(Indicators!$G$2:$G$46, MATCH($A43, Indicators!$A$2:$A$46, 0)),"")</f>
        <v>https://www.conference-board.org/topics/CEO-Confidence/</v>
      </c>
    </row>
    <row r="44" spans="1:9" ht="57" customHeight="1">
      <c r="A44" s="26" t="s">
        <v>223</v>
      </c>
      <c r="B44" s="26" t="str">
        <f>INDEX(Indicators!$C$2:$C$46, MATCH($A44, Indicators!$A$2:$A$46, 0))</f>
        <v>经济政策不确定性（EPU）</v>
      </c>
      <c r="C44" s="26" t="str">
        <f>INDEX(Indicators!$B$2:$B$46, MATCH($A44, Indicators!$A$2:$A$46, 0))</f>
        <v>D12</v>
      </c>
      <c r="D44" s="26">
        <f>IFERROR(INDEX(Inputs!$B$7:$B$51, MATCH($A44, Inputs!$A$7:$A$51, 0)),"")</f>
        <v>140</v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>140</v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>72.727272727272734</v>
      </c>
      <c r="G44" s="26">
        <f>IFERROR(INDEX(Indicators!$S$2:$S$46, MATCH($A44, Indicators!$A$2:$A$46, 0)),"")</f>
        <v>0.2</v>
      </c>
      <c r="H44" s="26">
        <f t="shared" si="0"/>
        <v>14.545454545454547</v>
      </c>
      <c r="I44" s="26" t="str">
        <f>IFERROR(INDEX(Indicators!$G$2:$G$46, MATCH($A44, Indicators!$A$2:$A$46, 0)),"")</f>
        <v>https://www.policyuncertainty.com/</v>
      </c>
    </row>
    <row r="45" spans="1:9" ht="45.75" customHeight="1">
      <c r="A45" s="26" t="s">
        <v>226</v>
      </c>
      <c r="B45" s="26" t="str">
        <f>INDEX(Indicators!$C$2:$C$46, MATCH($A45, Indicators!$A$2:$A$46, 0))</f>
        <v>云业务增速（加权，% YoY）</v>
      </c>
      <c r="C45" s="26" t="str">
        <f>INDEX(Indicators!$B$2:$B$46, MATCH($A45, Indicators!$A$2:$A$46, 0))</f>
        <v>D13</v>
      </c>
      <c r="D45" s="26">
        <f>IFERROR(INDEX(Inputs!$B$7:$B$51, MATCH($A45, Inputs!$A$7:$A$51, 0)),"")</f>
        <v>30</v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>30</v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>85.714285714285708</v>
      </c>
      <c r="G45" s="26">
        <f>IFERROR(INDEX(Indicators!$S$2:$S$46, MATCH($A45, Indicators!$A$2:$A$46, 0)),"")</f>
        <v>0.5</v>
      </c>
      <c r="H45" s="26">
        <f t="shared" si="0"/>
        <v>42.857142857142854</v>
      </c>
      <c r="I45" s="26" t="str">
        <f>IFERROR(INDEX(Indicators!$G$2:$G$46, MATCH($A45, Indicators!$A$2:$A$46, 0)),"")</f>
        <v>https://www.reuters.com/</v>
      </c>
    </row>
    <row r="46" spans="1:9" ht="32.25" customHeight="1">
      <c r="A46" s="26" t="s">
        <v>232</v>
      </c>
      <c r="B46" s="26" t="str">
        <f>INDEX(Indicators!$C$2:$C$46, MATCH($A46, Indicators!$A$2:$A$46, 0))</f>
        <v>AI相关Capex指引（自定义）</v>
      </c>
      <c r="C46" s="26" t="str">
        <f>INDEX(Indicators!$B$2:$B$46, MATCH($A46, Indicators!$A$2:$A$46, 0))</f>
        <v>D13</v>
      </c>
      <c r="D46" s="26">
        <f>IFERROR(INDEX(Inputs!$B$7:$B$51, MATCH($A46, Inputs!$A$7:$A$51, 0)),"")</f>
        <v>75</v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>75</v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>100</v>
      </c>
      <c r="G46" s="26">
        <f>IFERROR(INDEX(Indicators!$S$2:$S$46, MATCH($A46, Indicators!$A$2:$A$46, 0)),"")</f>
        <v>0.3</v>
      </c>
      <c r="H46" s="26">
        <f t="shared" si="0"/>
        <v>30</v>
      </c>
      <c r="I46" s="26" t="str">
        <f>IFERROR(INDEX(Indicators!$G$2:$G$46, MATCH($A46, Indicators!$A$2:$A$46, 0)),"")</f>
        <v>(填你来源)</v>
      </c>
    </row>
    <row r="47" spans="1:9" ht="32.25" customHeight="1">
      <c r="A47" s="26" t="s">
        <v>235</v>
      </c>
      <c r="B47" s="26" t="str">
        <f>INDEX(Indicators!$C$2:$C$46, MATCH($A47, Indicators!$A$2:$A$46, 0))</f>
        <v>半导体景气代理（Book-to-Bill）</v>
      </c>
      <c r="C47" s="26" t="str">
        <f>INDEX(Indicators!$B$2:$B$46, MATCH($A47, Indicators!$A$2:$A$46, 0))</f>
        <v>D13</v>
      </c>
      <c r="D47" s="26">
        <f>IFERROR(INDEX(Inputs!$B$7:$B$51, MATCH($A47, Inputs!$A$7:$A$51, 0)),"")</f>
        <v>1.08</v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>1.08</v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>100</v>
      </c>
      <c r="G47" s="26">
        <f>IFERROR(INDEX(Indicators!$S$2:$S$46, MATCH($A47, Indicators!$A$2:$A$46, 0)),"")</f>
        <v>0.2</v>
      </c>
      <c r="H47" s="26">
        <f t="shared" si="0"/>
        <v>20</v>
      </c>
      <c r="I47" s="26" t="str">
        <f>IFERROR(INDEX(Indicators!$G$2:$G$46, MATCH($A47, Indicators!$A$2:$A$46, 0)),"")</f>
        <v>(填你来源)</v>
      </c>
    </row>
    <row r="48" spans="1:9" ht="79.5" customHeight="1">
      <c r="A48" s="26" t="s">
        <v>239</v>
      </c>
      <c r="B48" s="26" t="str">
        <f>INDEX(Indicators!$C$2:$C$46, MATCH($A48, Indicators!$A$2:$A$46, 0))</f>
        <v>BTC价格（$）</v>
      </c>
      <c r="C48" s="26" t="str">
        <f>INDEX(Indicators!$B$2:$B$46, MATCH($A48, Indicators!$A$2:$A$46, 0))</f>
        <v>D14</v>
      </c>
      <c r="D48" s="26">
        <f>IFERROR(INDEX(Inputs!$B$7:$B$51, MATCH($A48, Inputs!$A$7:$A$51, 0)),"")</f>
        <v>67455</v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>67455</v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>47.455000000000005</v>
      </c>
      <c r="G48" s="26">
        <f>IFERROR(INDEX(Indicators!$S$2:$S$46, MATCH($A48, Indicators!$A$2:$A$46, 0)),"")</f>
        <v>0.4</v>
      </c>
      <c r="H48" s="26">
        <f t="shared" si="0"/>
        <v>18.982000000000003</v>
      </c>
      <c r="I48" s="26" t="str">
        <f>IFERROR(INDEX(Indicators!$G$2:$G$46, MATCH($A48, Indicators!$A$2:$A$46, 0)),"")</f>
        <v>https://coinmarketcap.com/currencies/bitcoin/</v>
      </c>
    </row>
    <row r="49" spans="1:9" ht="79.5" customHeight="1">
      <c r="A49" s="26" t="s">
        <v>246</v>
      </c>
      <c r="B49" s="26" t="str">
        <f>INDEX(Indicators!$C$2:$C$46, MATCH($A49, Indicators!$A$2:$A$46, 0))</f>
        <v>USDC市值（$B）</v>
      </c>
      <c r="C49" s="26" t="str">
        <f>INDEX(Indicators!$B$2:$B$46, MATCH($A49, Indicators!$A$2:$A$46, 0))</f>
        <v>D14</v>
      </c>
      <c r="D49" s="26">
        <f>IFERROR(INDEX(Inputs!$B$7:$B$51, MATCH($A49, Inputs!$A$7:$A$51, 0)),"")</f>
        <v>75.2</v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>75.2</v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>55.2</v>
      </c>
      <c r="G49" s="26">
        <f>IFERROR(INDEX(Indicators!$S$2:$S$46, MATCH($A49, Indicators!$A$2:$A$46, 0)),"")</f>
        <v>0.4</v>
      </c>
      <c r="H49" s="26">
        <f t="shared" si="0"/>
        <v>22.080000000000002</v>
      </c>
      <c r="I49" s="26" t="str">
        <f>IFERROR(INDEX(Indicators!$G$2:$G$46, MATCH($A49, Indicators!$A$2:$A$46, 0)),"")</f>
        <v>https://coinmarketcap.com/currencies/usd-coin/</v>
      </c>
    </row>
    <row r="50" spans="1:9" ht="68.25" customHeight="1">
      <c r="A50" s="26" t="s">
        <v>249</v>
      </c>
      <c r="B50" s="26" t="str">
        <f>INDEX(Indicators!$C$2:$C$46, MATCH($A50, Indicators!$A$2:$A$46, 0))</f>
        <v>稳定币总市值（$B）</v>
      </c>
      <c r="C50" s="26" t="str">
        <f>INDEX(Indicators!$B$2:$B$46, MATCH($A50, Indicators!$A$2:$A$46, 0))</f>
        <v>D14</v>
      </c>
      <c r="D50" s="26">
        <f>IFERROR(INDEX(Inputs!$B$7:$B$51, MATCH($A50, Inputs!$A$7:$A$51, 0)),"")</f>
        <v>240</v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>240</v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>52.173913043478258</v>
      </c>
      <c r="G50" s="26">
        <f>IFERROR(INDEX(Indicators!$S$2:$S$46, MATCH($A50, Indicators!$A$2:$A$46, 0)),"")</f>
        <v>0.2</v>
      </c>
      <c r="H50" s="26">
        <f t="shared" si="0"/>
        <v>10.434782608695652</v>
      </c>
      <c r="I50" s="26" t="str">
        <f>IFERROR(INDEX(Indicators!$G$2:$G$46, MATCH($A50, Indicators!$A$2:$A$46, 0)),"")</f>
        <v>https://coinmarketcap.com/view/stablecoin/</v>
      </c>
    </row>
    <row r="51" spans="1:9" ht="15" customHeight="1">
      <c r="A51" s="31"/>
      <c r="B51" s="31"/>
      <c r="C51" s="31"/>
      <c r="D51" s="31"/>
      <c r="E51" s="31"/>
      <c r="F51" s="31"/>
      <c r="G51" s="31"/>
      <c r="H51" s="31"/>
      <c r="I51" s="31"/>
    </row>
    <row r="52" spans="1:9" ht="15" customHeight="1">
      <c r="A52" s="31"/>
      <c r="B52" s="31"/>
      <c r="C52" s="31"/>
      <c r="D52" s="31"/>
      <c r="E52" s="31"/>
      <c r="F52" s="31"/>
      <c r="G52" s="31"/>
      <c r="H52" s="31"/>
      <c r="I52" s="31"/>
    </row>
    <row r="53" spans="1:9" ht="15" customHeight="1">
      <c r="A53" s="38" t="s">
        <v>547</v>
      </c>
      <c r="B53" s="31"/>
      <c r="C53" s="31"/>
      <c r="D53" s="31"/>
      <c r="E53" s="31"/>
      <c r="F53" s="31"/>
      <c r="G53" s="31"/>
      <c r="H53" s="31"/>
      <c r="I53" s="31"/>
    </row>
    <row r="54" spans="1:9" ht="27.75" customHeight="1">
      <c r="A54" s="28" t="s">
        <v>32</v>
      </c>
      <c r="B54" s="28" t="s">
        <v>424</v>
      </c>
      <c r="C54" s="28" t="s">
        <v>548</v>
      </c>
      <c r="D54" s="28" t="s">
        <v>549</v>
      </c>
      <c r="E54" s="28" t="s">
        <v>550</v>
      </c>
      <c r="F54" s="31"/>
      <c r="G54" s="31"/>
      <c r="H54" s="31"/>
      <c r="I54" s="31"/>
    </row>
    <row r="55" spans="1:9" ht="16.5" customHeight="1">
      <c r="A55" s="26" t="s">
        <v>41</v>
      </c>
      <c r="B55" s="27" t="s">
        <v>329</v>
      </c>
      <c r="C55" s="39">
        <v>12</v>
      </c>
      <c r="D55" s="39">
        <f t="shared" ref="D55:D68" si="1">IF(SUMIFS($G$6:$G$50,$C$6:$C$50,$A55,$F$6:$F$50,"&lt;&gt;")=0,"",SUMIFS($H$6:$H$50,$C$6:$C$50,$A55)/SUMIFS($G$6:$G$50,$C$6:$C$50,$A55,$F$6:$F$50,"&lt;&gt;"))</f>
        <v>59.998049450549452</v>
      </c>
      <c r="E55" s="39">
        <f t="shared" ref="E55:E68" si="2">IF($D55="","",$D55*$C55/100)</f>
        <v>7.1997659340659341</v>
      </c>
      <c r="F55" s="31"/>
      <c r="G55" s="31"/>
      <c r="H55" s="31"/>
      <c r="I55" s="31"/>
    </row>
    <row r="56" spans="1:9" ht="16.5" customHeight="1">
      <c r="A56" s="26" t="s">
        <v>70</v>
      </c>
      <c r="B56" s="27" t="s">
        <v>336</v>
      </c>
      <c r="C56" s="39">
        <v>11</v>
      </c>
      <c r="D56" s="39">
        <f t="shared" si="1"/>
        <v>86.295887445887445</v>
      </c>
      <c r="E56" s="39">
        <f t="shared" si="2"/>
        <v>9.4925476190476186</v>
      </c>
      <c r="F56" s="31"/>
      <c r="G56" s="31"/>
      <c r="H56" s="31"/>
      <c r="I56" s="31"/>
    </row>
    <row r="57" spans="1:9" ht="16.5" customHeight="1">
      <c r="A57" s="26" t="s">
        <v>95</v>
      </c>
      <c r="B57" s="27" t="s">
        <v>342</v>
      </c>
      <c r="C57" s="39">
        <v>10</v>
      </c>
      <c r="D57" s="39">
        <f t="shared" si="1"/>
        <v>98.25</v>
      </c>
      <c r="E57" s="39">
        <f t="shared" si="2"/>
        <v>9.8249999999999993</v>
      </c>
      <c r="F57" s="31"/>
      <c r="G57" s="31"/>
      <c r="H57" s="31"/>
      <c r="I57" s="31"/>
    </row>
    <row r="58" spans="1:9" ht="16.5" customHeight="1">
      <c r="A58" s="26" t="s">
        <v>109</v>
      </c>
      <c r="B58" s="27" t="s">
        <v>348</v>
      </c>
      <c r="C58" s="39">
        <v>10</v>
      </c>
      <c r="D58" s="39">
        <f t="shared" si="1"/>
        <v>85.589285714285722</v>
      </c>
      <c r="E58" s="39">
        <f t="shared" si="2"/>
        <v>8.5589285714285719</v>
      </c>
      <c r="F58" s="31"/>
      <c r="G58" s="31"/>
      <c r="H58" s="31"/>
      <c r="I58" s="31"/>
    </row>
    <row r="59" spans="1:9" ht="16.5" customHeight="1">
      <c r="A59" s="26" t="s">
        <v>125</v>
      </c>
      <c r="B59" s="27" t="s">
        <v>353</v>
      </c>
      <c r="C59" s="39">
        <v>8</v>
      </c>
      <c r="D59" s="39">
        <f t="shared" si="1"/>
        <v>55.749267399267396</v>
      </c>
      <c r="E59" s="39">
        <f t="shared" si="2"/>
        <v>4.4599413919413919</v>
      </c>
      <c r="F59" s="31"/>
      <c r="G59" s="31"/>
      <c r="H59" s="31"/>
      <c r="I59" s="31"/>
    </row>
    <row r="60" spans="1:9" ht="16.5" customHeight="1">
      <c r="A60" s="26" t="s">
        <v>139</v>
      </c>
      <c r="B60" s="27" t="s">
        <v>358</v>
      </c>
      <c r="C60" s="39">
        <v>6</v>
      </c>
      <c r="D60" s="39">
        <f t="shared" si="1"/>
        <v>42.319696969696963</v>
      </c>
      <c r="E60" s="39">
        <f t="shared" si="2"/>
        <v>2.539181818181818</v>
      </c>
      <c r="F60" s="31"/>
      <c r="G60" s="31"/>
      <c r="H60" s="31"/>
      <c r="I60" s="31"/>
    </row>
    <row r="61" spans="1:9" ht="16.5" customHeight="1">
      <c r="A61" s="26" t="s">
        <v>156</v>
      </c>
      <c r="B61" s="27" t="s">
        <v>363</v>
      </c>
      <c r="C61" s="39">
        <v>6</v>
      </c>
      <c r="D61" s="39">
        <f t="shared" si="1"/>
        <v>87.280636363636361</v>
      </c>
      <c r="E61" s="39">
        <f t="shared" si="2"/>
        <v>5.2368381818181824</v>
      </c>
      <c r="F61" s="31"/>
      <c r="G61" s="31"/>
      <c r="H61" s="31"/>
      <c r="I61" s="31"/>
    </row>
    <row r="62" spans="1:9" ht="16.5" customHeight="1">
      <c r="A62" s="26" t="s">
        <v>167</v>
      </c>
      <c r="B62" s="27" t="s">
        <v>368</v>
      </c>
      <c r="C62" s="39">
        <v>7</v>
      </c>
      <c r="D62" s="39">
        <f t="shared" si="1"/>
        <v>91.179999999999993</v>
      </c>
      <c r="E62" s="39">
        <f t="shared" si="2"/>
        <v>6.3826000000000001</v>
      </c>
      <c r="F62" s="31"/>
      <c r="G62" s="31"/>
      <c r="H62" s="31"/>
      <c r="I62" s="31"/>
    </row>
    <row r="63" spans="1:9" ht="16.5" customHeight="1">
      <c r="A63" s="26" t="s">
        <v>179</v>
      </c>
      <c r="B63" s="27" t="s">
        <v>373</v>
      </c>
      <c r="C63" s="39">
        <v>8</v>
      </c>
      <c r="D63" s="39">
        <f t="shared" si="1"/>
        <v>48.544117647058826</v>
      </c>
      <c r="E63" s="39">
        <f t="shared" si="2"/>
        <v>3.8835294117647061</v>
      </c>
      <c r="F63" s="31"/>
      <c r="G63" s="31"/>
      <c r="H63" s="31"/>
      <c r="I63" s="31"/>
    </row>
    <row r="64" spans="1:9" ht="16.5" customHeight="1">
      <c r="A64" s="26" t="s">
        <v>192</v>
      </c>
      <c r="B64" s="27" t="s">
        <v>377</v>
      </c>
      <c r="C64" s="39">
        <v>6</v>
      </c>
      <c r="D64" s="39">
        <f t="shared" si="1"/>
        <v>80.8</v>
      </c>
      <c r="E64" s="39">
        <f t="shared" si="2"/>
        <v>4.8479999999999999</v>
      </c>
      <c r="F64" s="31"/>
      <c r="G64" s="31"/>
      <c r="H64" s="31"/>
      <c r="I64" s="31"/>
    </row>
    <row r="65" spans="1:9" ht="32.25" customHeight="1">
      <c r="A65" s="26" t="s">
        <v>205</v>
      </c>
      <c r="B65" s="27" t="s">
        <v>381</v>
      </c>
      <c r="C65" s="39">
        <v>5</v>
      </c>
      <c r="D65" s="39">
        <f t="shared" si="1"/>
        <v>93.823529411764696</v>
      </c>
      <c r="E65" s="39">
        <f t="shared" si="2"/>
        <v>4.6911764705882346</v>
      </c>
      <c r="F65" s="31"/>
      <c r="G65" s="31"/>
      <c r="H65" s="31"/>
      <c r="I65" s="31"/>
    </row>
    <row r="66" spans="1:9" ht="16.5" customHeight="1">
      <c r="A66" s="26" t="s">
        <v>218</v>
      </c>
      <c r="B66" s="27" t="s">
        <v>387</v>
      </c>
      <c r="C66" s="39">
        <v>6</v>
      </c>
      <c r="D66" s="39">
        <f t="shared" si="1"/>
        <v>61.945454545454545</v>
      </c>
      <c r="E66" s="39">
        <f t="shared" si="2"/>
        <v>3.7167272727272729</v>
      </c>
      <c r="F66" s="31"/>
      <c r="G66" s="31"/>
      <c r="H66" s="31"/>
      <c r="I66" s="31"/>
    </row>
    <row r="67" spans="1:9" ht="16.5" customHeight="1">
      <c r="A67" s="26" t="s">
        <v>227</v>
      </c>
      <c r="B67" s="26" t="s">
        <v>445</v>
      </c>
      <c r="C67" s="39">
        <v>4</v>
      </c>
      <c r="D67" s="39">
        <f t="shared" si="1"/>
        <v>92.857142857142861</v>
      </c>
      <c r="E67" s="39">
        <f t="shared" si="2"/>
        <v>3.7142857142857144</v>
      </c>
      <c r="F67" s="31"/>
      <c r="G67" s="31"/>
      <c r="H67" s="31"/>
      <c r="I67" s="31"/>
    </row>
    <row r="68" spans="1:9" ht="32.25" customHeight="1">
      <c r="A68" s="26" t="s">
        <v>240</v>
      </c>
      <c r="B68" s="27" t="s">
        <v>448</v>
      </c>
      <c r="C68" s="39">
        <v>1</v>
      </c>
      <c r="D68" s="39">
        <f t="shared" si="1"/>
        <v>51.496782608695653</v>
      </c>
      <c r="E68" s="39">
        <f t="shared" si="2"/>
        <v>0.51496782608695657</v>
      </c>
      <c r="F68" s="31"/>
      <c r="G68" s="31"/>
      <c r="H68" s="31"/>
      <c r="I68" s="31"/>
    </row>
    <row r="69" spans="1:9" ht="15" customHeight="1">
      <c r="A69" s="31"/>
      <c r="B69" s="31"/>
      <c r="C69" s="31"/>
      <c r="D69" s="31">
        <f>SUM($E55:$E68)</f>
        <v>75.063490211936397</v>
      </c>
      <c r="E69" s="31">
        <f>SUM($E55:$E68)</f>
        <v>75.063490211936397</v>
      </c>
      <c r="F69" s="31"/>
      <c r="G69" s="31"/>
      <c r="H69" s="31"/>
      <c r="I69" s="31"/>
    </row>
    <row r="70" spans="1:9" ht="16.5" customHeight="1">
      <c r="A70" s="40" t="s">
        <v>551</v>
      </c>
      <c r="B70" s="40"/>
      <c r="C70" s="40">
        <v>100</v>
      </c>
      <c r="D70" s="41">
        <f>SUM($E55:$E68)</f>
        <v>75.063490211936397</v>
      </c>
      <c r="E70" s="40">
        <f>SUM($E55:$E68)</f>
        <v>75.063490211936397</v>
      </c>
      <c r="F70" s="42" t="str">
        <f>IF($D70="","",IF($D70&gt;=75,"扩张偏热",IF($D70&gt;=60,"温和扩张",IF($D70&gt;=45,"中性脆弱",IF($D70&gt;=30,"防御区","衰退/危机")))))</f>
        <v>扩张偏热</v>
      </c>
      <c r="G70" s="31"/>
      <c r="H70" s="31"/>
      <c r="I70" s="31"/>
    </row>
  </sheetData>
  <mergeCells count="1">
    <mergeCell ref="A1:H1"/>
  </mergeCells>
  <conditionalFormatting sqref="F6:F50">
    <cfRule type="cellIs" dxfId="2" priority="2" operator="lessThan">
      <formula>30</formula>
    </cfRule>
    <cfRule type="cellIs" dxfId="1" priority="3" operator="between">
      <formula>30</formula>
      <formula>45</formula>
    </cfRule>
    <cfRule type="cellIs" dxfId="0" priority="4" operator="greaterThanOrEqual">
      <formula>60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C00000"/>
  </sheetPr>
  <dimension ref="A1:E12"/>
  <sheetViews>
    <sheetView showGridLines="0" zoomScaleNormal="100" workbookViewId="0"/>
  </sheetViews>
  <sheetFormatPr baseColWidth="10" defaultColWidth="8.6640625" defaultRowHeight="15" customHeight="1"/>
  <cols>
    <col min="1" max="2" width="10" customWidth="1"/>
    <col min="3" max="3" width="28" customWidth="1"/>
    <col min="4" max="4" width="36" customWidth="1"/>
    <col min="5" max="5" width="12" customWidth="1"/>
  </cols>
  <sheetData>
    <row r="1" spans="1:5" ht="21" customHeight="1">
      <c r="A1" s="79" t="s">
        <v>552</v>
      </c>
      <c r="B1" s="74"/>
      <c r="C1" s="74"/>
      <c r="D1" s="74"/>
      <c r="E1" s="74"/>
    </row>
    <row r="2" spans="1:5" ht="15" customHeight="1">
      <c r="A2" s="31"/>
      <c r="B2" s="31"/>
      <c r="C2" s="31"/>
      <c r="D2" s="31"/>
      <c r="E2" s="31"/>
    </row>
    <row r="3" spans="1:5" ht="95.25" customHeight="1">
      <c r="A3" s="7" t="s">
        <v>553</v>
      </c>
      <c r="B3" s="31"/>
      <c r="C3" s="31"/>
      <c r="D3" s="31"/>
      <c r="E3" s="31"/>
    </row>
    <row r="4" spans="1:5" ht="15" customHeight="1">
      <c r="A4" s="31"/>
      <c r="B4" s="31"/>
      <c r="C4" s="31"/>
      <c r="D4" s="31"/>
      <c r="E4" s="31"/>
    </row>
    <row r="5" spans="1:5" ht="16.5" customHeight="1">
      <c r="A5" s="28" t="s">
        <v>554</v>
      </c>
      <c r="B5" s="28" t="s">
        <v>555</v>
      </c>
      <c r="C5" s="28" t="s">
        <v>556</v>
      </c>
      <c r="D5" s="28" t="s">
        <v>557</v>
      </c>
      <c r="E5" s="28" t="s">
        <v>558</v>
      </c>
    </row>
    <row r="6" spans="1:5" ht="15" customHeight="1">
      <c r="A6" s="43" t="s">
        <v>559</v>
      </c>
      <c r="B6" s="44" t="s">
        <v>560</v>
      </c>
      <c r="C6" s="43" t="s">
        <v>561</v>
      </c>
      <c r="D6" s="43" t="b">
        <f>IFERROR(INDEX(Scores!$D:$D, MATCH("VIX", Scores!$A:$A,0)),"")&gt;30</f>
        <v>0</v>
      </c>
      <c r="E6" s="44" t="str">
        <f>IF(IFERROR(INDEX(Scores!$D:$D, MATCH("VIX", Scores!$A:$A,0)),"")&gt;30,"YES","NO")</f>
        <v>NO</v>
      </c>
    </row>
    <row r="7" spans="1:5" ht="15" customHeight="1">
      <c r="A7" s="43" t="s">
        <v>562</v>
      </c>
      <c r="B7" s="44" t="s">
        <v>560</v>
      </c>
      <c r="C7" s="43" t="s">
        <v>563</v>
      </c>
      <c r="D7" s="43" t="b">
        <f>IFERROR(INDEX(Scores!$D:$D, MATCH("MOVE", Scores!$A:$A,0)),"")&gt;140</f>
        <v>0</v>
      </c>
      <c r="E7" s="44" t="str">
        <f>IF(IFERROR(INDEX(Scores!$D:$D, MATCH("MOVE", Scores!$A:$A,0)),"")&gt;140,"YES","NO")</f>
        <v>NO</v>
      </c>
    </row>
    <row r="8" spans="1:5" ht="15" customHeight="1">
      <c r="A8" s="43" t="s">
        <v>564</v>
      </c>
      <c r="B8" s="45" t="s">
        <v>565</v>
      </c>
      <c r="C8" s="43" t="s">
        <v>566</v>
      </c>
      <c r="D8" s="43" t="b">
        <f>IFERROR(INDEX(Scores!$D:$D, MATCH("HY_OAS", Scores!$A:$A,0)),"")&gt;600</f>
        <v>0</v>
      </c>
      <c r="E8" s="45" t="str">
        <f>IF(IFERROR(INDEX(Scores!$D:$D, MATCH("HY_OAS", Scores!$A:$A,0)),"")&gt;600,"YES","NO")</f>
        <v>NO</v>
      </c>
    </row>
    <row r="9" spans="1:5" ht="15" customHeight="1">
      <c r="A9" s="43" t="s">
        <v>567</v>
      </c>
      <c r="B9" s="45" t="s">
        <v>565</v>
      </c>
      <c r="C9" s="43" t="s">
        <v>568</v>
      </c>
      <c r="D9" s="43" t="b">
        <f>IFERROR(INDEX(Scores!$D:$D, MATCH("YC_10Y3M", Scores!$A:$A,0)),"")&lt;-50</f>
        <v>0</v>
      </c>
      <c r="E9" s="45" t="str">
        <f>IF(IFERROR(INDEX(Scores!$D:$D, MATCH("YC_10Y3M", Scores!$A:$A,0)),"")&lt;-50,"YES","NO")</f>
        <v>NO</v>
      </c>
    </row>
    <row r="10" spans="1:5" ht="16.5" customHeight="1">
      <c r="A10" s="43" t="s">
        <v>569</v>
      </c>
      <c r="B10" s="44" t="s">
        <v>560</v>
      </c>
      <c r="C10" s="46" t="s">
        <v>570</v>
      </c>
      <c r="D10" s="43" t="b">
        <f>IFERROR(INDEX(Scores!$D:$D, MATCH("UNRATE", Scores!$A:$A,0)),"")&gt;6</f>
        <v>0</v>
      </c>
      <c r="E10" s="44" t="str">
        <f>IF(IFERROR(INDEX(Scores!$D:$D, MATCH("UNRATE", Scores!$A:$A,0)),"")&gt;6,"YES","NO")</f>
        <v>NO</v>
      </c>
    </row>
    <row r="11" spans="1:5" ht="16.5" customHeight="1">
      <c r="A11" s="43" t="s">
        <v>571</v>
      </c>
      <c r="B11" s="45" t="s">
        <v>565</v>
      </c>
      <c r="C11" s="46" t="s">
        <v>572</v>
      </c>
      <c r="D11" s="43" t="b">
        <f>IFERROR(INDEX(Scores!$D:$D, MATCH("CORE_PCE_YOY", Scores!$A:$A,0)),"")&gt;3.5</f>
        <v>0</v>
      </c>
      <c r="E11" s="45" t="str">
        <f>IF(IFERROR(INDEX(Scores!$D:$D, MATCH("CORE_PCE_YOY", Scores!$A:$A,0)),"")&gt;3.5,"YES","NO")</f>
        <v>NO</v>
      </c>
    </row>
    <row r="12" spans="1:5" ht="15" customHeight="1">
      <c r="A12" s="43" t="s">
        <v>573</v>
      </c>
      <c r="B12" s="45" t="s">
        <v>565</v>
      </c>
      <c r="C12" s="43" t="s">
        <v>574</v>
      </c>
      <c r="D12" s="43" t="b">
        <f>IFERROR(INDEX(Scores!$D:$D, MATCH("WTI", Scores!$A:$A,0)),"")&gt;100</f>
        <v>0</v>
      </c>
      <c r="E12" s="45" t="str">
        <f>IF(IFERROR(INDEX(Scores!$D:$D, MATCH("WTI", Scores!$A:$A,0)),"")&gt;100,"YES","NO")</f>
        <v>NO</v>
      </c>
    </row>
  </sheetData>
  <mergeCells count="1">
    <mergeCell ref="A1:E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仪表盘</vt:lpstr>
      <vt:lpstr>监控仪表盘</vt:lpstr>
      <vt:lpstr>数据源映射</vt:lpstr>
      <vt:lpstr>API代码映射</vt:lpstr>
      <vt:lpstr>模型总表</vt:lpstr>
      <vt:lpstr>README</vt:lpstr>
      <vt:lpstr>Dimensions</vt:lpstr>
      <vt:lpstr>Indicators</vt:lpstr>
      <vt:lpstr>Inputs</vt:lpstr>
      <vt:lpstr>Scores</vt:lpstr>
      <vt:lpstr>Alerts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14维机构级宏观监控模型 - 董事会汇报版 Dashboard</dc:title>
  <dc:creator>openpyxl</dc:creator>
  <cp:lastModifiedBy>Yiping Xia</cp:lastModifiedBy>
  <cp:revision>0</cp:revision>
  <dcterms:created xsi:type="dcterms:W3CDTF">2026-03-04T07:45:25Z</dcterms:created>
  <dcterms:modified xsi:type="dcterms:W3CDTF">2026-03-05T05:32:25Z</dcterms:modified>
  <dc:language>en-US</dc:language>
</cp:coreProperties>
</file>