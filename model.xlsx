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8400" windowHeight="21600" tabRatio="600" firstSheet="0" activeTab="0" autoFilterDateGrouping="1"/>
  </bookViews>
  <sheets>
    <sheet name="仪表盘" sheetId="1" state="visible" r:id="rId1"/>
    <sheet name="监控仪表盘" sheetId="2" state="visible" r:id="rId2"/>
    <sheet name="数据源映射" sheetId="3" state="visible" r:id="rId3"/>
    <sheet name="API代码映射" sheetId="4" state="visible" r:id="rId4"/>
    <sheet name="模型总表" sheetId="5" state="visible" r:id="rId5"/>
    <sheet name="README" sheetId="6" state="visible" r:id="rId6"/>
    <sheet name="Dimensions" sheetId="7" state="visible" r:id="rId7"/>
    <sheet name="Indicators" sheetId="8" state="visible" r:id="rId8"/>
    <sheet name="Inputs" sheetId="9" state="visible" r:id="rId9"/>
    <sheet name="Scores" sheetId="10" state="visible" r:id="rId10"/>
    <sheet name="Alerts" sheetId="11" state="visible" r:id="rId1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0.0%"/>
  </numFmts>
  <fonts count="23">
    <font>
      <name val="Arial"/>
      <charset val="1"/>
      <family val="2"/>
      <sz val="10"/>
    </font>
    <font>
      <name val="Noto Sans CJK SC"/>
      <charset val="1"/>
      <family val="2"/>
      <b val="1"/>
      <color rgb="FFFFFFFF"/>
      <sz val="18"/>
    </font>
    <font>
      <name val="Noto Sans CJK SC"/>
      <charset val="1"/>
      <family val="2"/>
      <b val="1"/>
      <color rgb="FFFFFFFF"/>
      <sz val="11"/>
    </font>
    <font>
      <name val="Cambria"/>
      <family val="1"/>
      <b val="1"/>
      <sz val="12"/>
    </font>
    <font>
      <name val="Cambria"/>
      <family val="1"/>
      <b val="1"/>
      <sz val="11"/>
    </font>
    <font>
      <name val="Noto Sans CJK SC"/>
      <charset val="1"/>
      <family val="2"/>
      <color theme="1"/>
      <sz val="11"/>
    </font>
    <font>
      <name val="Calibri"/>
      <charset val="1"/>
      <family val="2"/>
      <color theme="1"/>
      <sz val="11"/>
    </font>
    <font>
      <name val="Noto Sans CJK SC"/>
      <charset val="1"/>
      <family val="2"/>
      <i val="1"/>
      <color rgb="FF1F1F1F"/>
      <sz val="11"/>
    </font>
    <font>
      <name val="Noto Sans CJK SC"/>
      <charset val="1"/>
      <family val="2"/>
      <b val="1"/>
      <color rgb="FFFFFFFF"/>
      <sz val="16"/>
    </font>
    <font>
      <name val="Noto Sans CJK SC"/>
      <charset val="1"/>
      <family val="2"/>
      <b val="1"/>
      <sz val="11"/>
    </font>
    <font>
      <name val="Cambria"/>
      <family val="1"/>
      <b val="1"/>
      <color rgb="FFFFFFFF"/>
      <sz val="11"/>
    </font>
    <font>
      <name val="Noto Sans CJK SC"/>
      <charset val="1"/>
      <family val="2"/>
      <b val="1"/>
      <color rgb="FFFFFFFF"/>
      <sz val="15"/>
    </font>
    <font>
      <name val="Noto Sans CJK SC"/>
      <charset val="1"/>
      <family val="2"/>
      <b val="1"/>
      <color rgb="FF17365D"/>
      <sz val="11"/>
    </font>
    <font>
      <name val="Cambria"/>
      <family val="1"/>
      <b val="1"/>
      <color rgb="FFFFFFFF"/>
      <sz val="14"/>
    </font>
    <font>
      <name val="Cambria"/>
      <family val="1"/>
      <b val="1"/>
      <color rgb="FF17365D"/>
      <sz val="11"/>
    </font>
    <font>
      <name val="Cambria"/>
      <family val="1"/>
      <color rgb="FF0000FF"/>
      <sz val="11"/>
    </font>
    <font>
      <name val="Noto Sans CJK SC"/>
      <charset val="1"/>
      <family val="2"/>
      <color rgb="FF1F4E79"/>
      <sz val="11"/>
    </font>
    <font>
      <name val="Noto Sans CJK SC"/>
      <charset val="1"/>
      <family val="2"/>
      <b val="1"/>
      <color rgb="FF17365D"/>
      <sz val="12"/>
    </font>
    <font>
      <name val="Arial"/>
      <family val="2"/>
      <b val="1"/>
      <color rgb="FFFFFFFF"/>
      <sz val="16"/>
    </font>
    <font>
      <name val="Arial"/>
      <family val="2"/>
      <b val="1"/>
      <color rgb="FF1F4E78"/>
      <sz val="10"/>
    </font>
    <font>
      <name val="Arial"/>
      <family val="2"/>
      <b val="1"/>
      <color rgb="FFFFFFFF"/>
      <sz val="10"/>
    </font>
    <font>
      <name val="Arial"/>
      <family val="2"/>
      <b val="1"/>
      <sz val="14"/>
    </font>
    <font>
      <name val="Arial"/>
      <family val="2"/>
      <i val="1"/>
      <color rgb="FFC55A11"/>
      <sz val="9"/>
    </font>
  </fonts>
  <fills count="26">
    <fill>
      <patternFill/>
    </fill>
    <fill>
      <patternFill patternType="gray125"/>
    </fill>
    <fill>
      <patternFill patternType="solid">
        <fgColor rgb="FF17365D"/>
        <bgColor rgb="FF1F4E79"/>
      </patternFill>
    </fill>
    <fill>
      <patternFill patternType="solid">
        <fgColor rgb="FF5B9BD5"/>
        <bgColor rgb="FF808080"/>
      </patternFill>
    </fill>
    <fill>
      <patternFill patternType="solid">
        <fgColor rgb="FFFFF2CC"/>
        <bgColor rgb="FFFDE9E7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DE9E7"/>
      </patternFill>
    </fill>
    <fill>
      <patternFill patternType="solid">
        <fgColor rgb="FFF3F6FA"/>
        <bgColor rgb="FFEEF5FB"/>
      </patternFill>
    </fill>
    <fill>
      <patternFill patternType="solid">
        <fgColor rgb="FFEEF5FB"/>
        <bgColor rgb="FFF3F6FA"/>
      </patternFill>
    </fill>
    <fill>
      <patternFill patternType="solid">
        <fgColor rgb="FFD9EAF7"/>
        <bgColor rgb="FFDCE6F1"/>
      </patternFill>
    </fill>
    <fill>
      <patternFill patternType="solid">
        <fgColor rgb="FFFAFAFA"/>
        <bgColor rgb="FFF8FBFF"/>
      </patternFill>
    </fill>
    <fill>
      <patternFill patternType="solid">
        <fgColor rgb="FFF3E5F5"/>
        <bgColor rgb="FFFDE9E7"/>
      </patternFill>
    </fill>
    <fill>
      <patternFill patternType="solid">
        <fgColor rgb="FFE7F3FF"/>
        <bgColor rgb="FFEEF5FB"/>
      </patternFill>
    </fill>
    <fill>
      <patternFill patternType="solid">
        <fgColor rgb="FFDCE6F1"/>
        <bgColor rgb="FFD9EAF7"/>
      </patternFill>
    </fill>
    <fill>
      <patternFill patternType="solid">
        <fgColor rgb="FFF8FBFF"/>
        <bgColor rgb="FFFAFAFA"/>
      </patternFill>
    </fill>
    <fill>
      <patternFill patternType="solid">
        <fgColor rgb="FF1F4E79"/>
        <bgColor rgb="FF17365D"/>
      </patternFill>
    </fill>
    <fill>
      <patternFill patternType="solid">
        <fgColor rgb="FFFFFFFF"/>
        <bgColor rgb="FFF8FBFF"/>
      </patternFill>
    </fill>
    <fill>
      <patternFill patternType="solid">
        <fgColor rgb="FFFDE9E7"/>
        <bgColor rgb="FFFCE4D6"/>
      </patternFill>
    </fill>
    <fill>
      <patternFill patternType="solid">
        <fgColor rgb="FF0F2747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0E7490"/>
      </patternFill>
    </fill>
    <fill>
      <patternFill patternType="solid">
        <fgColor rgb="FFC55A11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0F2747"/>
      </top>
      <bottom style="medium">
        <color rgb="FF0F2747"/>
      </bottom>
      <diagonal/>
    </border>
    <border>
      <left/>
      <right/>
      <top style="thin">
        <color rgb="FFB7C9E2"/>
      </top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/>
      <right/>
      <top style="medium">
        <color rgb="FF0F2747"/>
      </top>
      <bottom/>
      <diagonal/>
    </border>
    <border>
      <left/>
      <right/>
      <top style="medium">
        <color rgb="FF0F2747"/>
      </top>
      <bottom style="medium">
        <color rgb="FF0F2747"/>
      </bottom>
      <diagonal/>
    </border>
    <border>
      <left/>
      <right/>
      <top/>
      <bottom style="medium">
        <color rgb="FF0F2747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9" fillId="9" borderId="2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horizontal="center" wrapText="1"/>
    </xf>
    <xf numFmtId="0" fontId="14" fillId="0" borderId="1" pivotButton="0" quotePrefix="0" xfId="0"/>
    <xf numFmtId="165" fontId="1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15" fillId="12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left" vertical="top" wrapText="1"/>
    </xf>
    <xf numFmtId="165" fontId="15" fillId="14" borderId="1" applyAlignment="1" pivotButton="0" quotePrefix="0" xfId="0">
      <alignment horizontal="left" vertical="top" wrapText="1"/>
    </xf>
    <xf numFmtId="0" fontId="16" fillId="14" borderId="1" applyAlignment="1" pivotButton="0" quotePrefix="0" xfId="0">
      <alignment horizontal="left" vertical="top" wrapText="1"/>
    </xf>
    <xf numFmtId="0" fontId="9" fillId="0" borderId="1" pivotButton="0" quotePrefix="0" xfId="0"/>
    <xf numFmtId="0" fontId="10" fillId="15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wrapText="1"/>
    </xf>
    <xf numFmtId="0" fontId="6" fillId="17" borderId="1" applyAlignment="1" pivotButton="0" quotePrefix="0" xfId="0">
      <alignment wrapText="1"/>
    </xf>
    <xf numFmtId="0" fontId="6" fillId="4" borderId="1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0" fontId="20" fillId="19" borderId="0" pivotButton="0" quotePrefix="0" xfId="0"/>
    <xf numFmtId="0" fontId="21" fillId="20" borderId="0" applyAlignment="1" pivotButton="0" quotePrefix="0" xfId="0">
      <alignment horizontal="center"/>
    </xf>
    <xf numFmtId="0" fontId="21" fillId="23" borderId="0" applyAlignment="1" pivotButton="0" quotePrefix="0" xfId="0">
      <alignment horizontal="center"/>
    </xf>
    <xf numFmtId="0" fontId="21" fillId="24" borderId="0" applyAlignment="1" pivotButton="0" quotePrefix="0" xfId="0">
      <alignment horizontal="center"/>
    </xf>
    <xf numFmtId="0" fontId="19" fillId="0" borderId="0" pivotButton="0" quotePrefix="0" xfId="0"/>
    <xf numFmtId="0" fontId="0" fillId="0" borderId="0" applyAlignment="1" pivotButton="0" quotePrefix="0" xfId="0">
      <alignment wrapText="1"/>
    </xf>
    <xf numFmtId="0" fontId="20" fillId="19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wrapText="1"/>
    </xf>
    <xf numFmtId="166" fontId="0" fillId="0" borderId="6" applyAlignment="1" pivotButton="0" quotePrefix="0" xfId="0">
      <alignment wrapText="1"/>
    </xf>
    <xf numFmtId="164" fontId="0" fillId="0" borderId="6" applyAlignment="1" pivotButton="0" quotePrefix="0" xfId="0">
      <alignment wrapText="1"/>
    </xf>
    <xf numFmtId="0" fontId="0" fillId="0" borderId="6" pivotButton="0" quotePrefix="0" xfId="0"/>
    <xf numFmtId="0" fontId="22" fillId="0" borderId="0" pivotButton="0" quotePrefix="0" xfId="0"/>
    <xf numFmtId="0" fontId="0" fillId="0" borderId="6" applyAlignment="1" pivotButton="0" quotePrefix="0" xfId="0">
      <alignment vertical="top" wrapText="1"/>
    </xf>
    <xf numFmtId="0" fontId="19" fillId="25" borderId="0" pivotButton="0" quotePrefix="0" xfId="0"/>
    <xf numFmtId="0" fontId="20" fillId="22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18" fillId="18" borderId="4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0" applyAlignment="1" pivotButton="0" quotePrefix="0" xfId="0">
      <alignment wrapText="1"/>
    </xf>
    <xf numFmtId="0" fontId="0" fillId="0" borderId="8" pivotButton="0" quotePrefix="0" xfId="0"/>
    <xf numFmtId="0" fontId="0" fillId="0" borderId="10" pivotButton="0" quotePrefix="0" xfId="0"/>
    <xf numFmtId="0" fontId="20" fillId="21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7" borderId="0" applyAlignment="1" pivotButton="0" quotePrefix="0" xfId="0">
      <alignment wrapText="1"/>
    </xf>
    <xf numFmtId="0" fontId="6" fillId="1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8" borderId="0" applyAlignment="1" pivotButton="0" quotePrefix="0" xfId="0">
      <alignment wrapText="1"/>
    </xf>
    <xf numFmtId="0" fontId="8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8" fillId="18" borderId="9" applyAlignment="1" pivotButton="0" quotePrefix="0" xfId="0">
      <alignment horizontal="left" vertical="center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AFAF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7F3FF"/>
      <rgbColor rgb="FF660066"/>
      <rgbColor rgb="FFEEF5FB"/>
      <rgbColor rgb="FF0066CC"/>
      <rgbColor rgb="FFD9D9D9"/>
      <rgbColor rgb="FF000080"/>
      <rgbColor rgb="FFFF00FF"/>
      <rgbColor rgb="FFF3F6FA"/>
      <rgbColor rgb="FF00FFFF"/>
      <rgbColor rgb="FF800080"/>
      <rgbColor rgb="FF800000"/>
      <rgbColor rgb="FF008080"/>
      <rgbColor rgb="FF0000FF"/>
      <rgbColor rgb="FF00CCFF"/>
      <rgbColor rgb="FFD9EAF7"/>
      <rgbColor rgb="FFC6EFCE"/>
      <rgbColor rgb="FFFCE4D6"/>
      <rgbColor rgb="FFDCE6F1"/>
      <rgbColor rgb="FFF3E5F5"/>
      <rgbColor rgb="FFFDE9E7"/>
      <rgbColor rgb="FFF8CBAD"/>
      <rgbColor rgb="FF3366FF"/>
      <rgbColor rgb="FF33CCCC"/>
      <rgbColor rgb="FFF8FBFF"/>
      <rgbColor rgb="FFFFC000"/>
      <rgbColor rgb="FFFF9900"/>
      <rgbColor rgb="FFED7D31"/>
      <rgbColor rgb="FF666699"/>
      <rgbColor rgb="FFA5A5A5"/>
      <rgbColor rgb="FF17365D"/>
      <rgbColor rgb="FF70AD47"/>
      <rgbColor rgb="FF003300"/>
      <rgbColor rgb="FF333300"/>
      <rgbColor rgb="FF993300"/>
      <rgbColor rgb="FF993366"/>
      <rgbColor rgb="FF1F4E7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 altLang="zh-CN"/>
              <a:t>14</a:t>
            </a:r>
            <a:r>
              <a:rPr lang="zh-CN" altLang="en-US"/>
              <a:t>维度得分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spPr>
            <a:ln>
              <a:prstDash val="solid"/>
            </a:ln>
          </spPr>
          <invertIfNegative val="1"/>
          <cat>
            <strRef>
              <f>Scores!$B$55:$B$68</f>
              <strCache>
                <ptCount val="14"/>
                <pt idx="0">
                  <v>货币政策与流动性</v>
                </pt>
                <pt idx="1">
                  <v>增长与前瞻</v>
                </pt>
                <pt idx="2">
                  <v>通胀与价格压力</v>
                </pt>
                <pt idx="3">
                  <v>就业与居民部门</v>
                </pt>
                <pt idx="4">
                  <v>企业盈利与信用</v>
                </pt>
                <pt idx="5">
                  <v>房地产与利率敏感部门</v>
                </pt>
                <pt idx="6">
                  <v>风险偏好与跨资产波动</v>
                </pt>
                <pt idx="7">
                  <v>外部部门与美元条件</v>
                </pt>
                <pt idx="8">
                  <v>财政政策与债务约束</v>
                </pt>
                <pt idx="9">
                  <v>金融条件与信用传导</v>
                </pt>
                <pt idx="10">
                  <v>大宗商品与能源/地缘风险</v>
                </pt>
                <pt idx="11">
                  <v>信心与不确定性</v>
                </pt>
                <pt idx="12">
                  <v>AI资本开支周期（主题）</v>
                </pt>
                <pt idx="13">
                  <v>加密与稳定币流动性（主题）</v>
                </pt>
              </strCache>
            </strRef>
          </cat>
          <val>
            <numRef>
              <f>Scores!$D$55:$D$68</f>
              <numCache>
                <formatCode>General</formatCode>
                <ptCount val="14"/>
                <pt idx="0">
                  <v>59.99804945054945</v>
                </pt>
                <pt idx="1">
                  <v>86.29588744588744</v>
                </pt>
                <pt idx="2">
                  <v>98.25</v>
                </pt>
                <pt idx="3">
                  <v>85.58928571428572</v>
                </pt>
                <pt idx="4">
                  <v>55.7492673992674</v>
                </pt>
                <pt idx="5">
                  <v>42.31969696969696</v>
                </pt>
                <pt idx="6">
                  <v>87.28063636363636</v>
                </pt>
                <pt idx="7">
                  <v>91.17999999999999</v>
                </pt>
                <pt idx="8">
                  <v>48.54411764705883</v>
                </pt>
                <pt idx="9">
                  <v>80.8</v>
                </pt>
                <pt idx="10">
                  <v>93.8235294117647</v>
                </pt>
                <pt idx="11">
                  <v>61.94545454545455</v>
                </pt>
                <pt idx="12">
                  <v>92.85714285714286</v>
                </pt>
                <pt idx="13">
                  <v>51.49678260869565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zh-CN" altLang="en-US"/>
                  <a:t>维度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zh-CN" altLang="en-US"/>
              <a:t>总分贡献结构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Scores!$B$55:$B$68</f>
              <strCache>
                <ptCount val="14"/>
                <pt idx="0">
                  <v>货币政策与流动性</v>
                </pt>
                <pt idx="1">
                  <v>增长与前瞻</v>
                </pt>
                <pt idx="2">
                  <v>通胀与价格压力</v>
                </pt>
                <pt idx="3">
                  <v>就业与居民部门</v>
                </pt>
                <pt idx="4">
                  <v>企业盈利与信用</v>
                </pt>
                <pt idx="5">
                  <v>房地产与利率敏感部门</v>
                </pt>
                <pt idx="6">
                  <v>风险偏好与跨资产波动</v>
                </pt>
                <pt idx="7">
                  <v>外部部门与美元条件</v>
                </pt>
                <pt idx="8">
                  <v>财政政策与债务约束</v>
                </pt>
                <pt idx="9">
                  <v>金融条件与信用传导</v>
                </pt>
                <pt idx="10">
                  <v>大宗商品与能源/地缘风险</v>
                </pt>
                <pt idx="11">
                  <v>信心与不确定性</v>
                </pt>
                <pt idx="12">
                  <v>AI资本开支周期（主题）</v>
                </pt>
                <pt idx="13">
                  <v>加密与稳定币流动性（主题）</v>
                </pt>
              </strCache>
            </strRef>
          </cat>
          <val>
            <numRef>
              <f>Scores!$E$55:$E$68</f>
              <numCache>
                <formatCode>General</formatCode>
                <ptCount val="14"/>
                <pt idx="0">
                  <v>7.199765934065934</v>
                </pt>
                <pt idx="1">
                  <v>9.492547619047619</v>
                </pt>
                <pt idx="2">
                  <v>9.824999999999999</v>
                </pt>
                <pt idx="3">
                  <v>8.558928571428572</v>
                </pt>
                <pt idx="4">
                  <v>4.459941391941392</v>
                </pt>
                <pt idx="5">
                  <v>2.539181818181818</v>
                </pt>
                <pt idx="6">
                  <v>5.236838181818182</v>
                </pt>
                <pt idx="7">
                  <v>6.3826</v>
                </pt>
                <pt idx="8">
                  <v>3.883529411764706</v>
                </pt>
                <pt idx="9">
                  <v>4.848</v>
                </pt>
                <pt idx="10">
                  <v>4.691176470588235</v>
                </pt>
                <pt idx="11">
                  <v>3.716727272727273</v>
                </pt>
                <pt idx="12">
                  <v>3.714285714285714</v>
                </pt>
                <pt idx="13">
                  <v>0.5149678260869566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F2" authorId="0" shapeId="0">
      <text>
        <t>主源参考: https://fred.stlouisfed.org/series/DGS10
Series/Code: DGS10 &amp; DGS3MO</t>
      </text>
    </comment>
    <comment ref="F3" authorId="0" shapeId="0">
      <text>
        <t>主源参考: https://fred.stlouisfed.org/series/SOFR
Series/Code: SOFR</t>
      </text>
    </comment>
    <comment ref="F4" authorId="0" shapeId="0">
      <text>
        <t>主源参考: https://fred.stlouisfed.org/series/WALCL
Series/Code: WALCL</t>
      </text>
    </comment>
    <comment ref="F5" authorId="0" shapeId="0">
      <text>
        <t>主源参考: (填你的来源或模型)
Series/Code: N/A</t>
      </text>
    </comment>
    <comment ref="F6" authorId="0" shapeId="0">
      <text>
        <t>主源参考: https://www.bea.gov/
Series/Code: GDP</t>
      </text>
    </comment>
    <comment ref="F7" authorId="0" shapeId="0">
      <text>
        <t>主源参考: (填你使用的PMI来源)
Series/Code: PMI</t>
      </text>
    </comment>
    <comment ref="F8" authorId="0" shapeId="0">
      <text>
        <t>主源参考: https://fred.stlouisfed.org/series/IC4WSA
Series/Code: IC4WSA</t>
      </text>
    </comment>
    <comment ref="F9" authorId="0" shapeId="0">
      <text>
        <t>主源参考: https://www.conference-board.org/
Series/Code: LEI YoY</t>
      </text>
    </comment>
    <comment ref="F10" authorId="0" shapeId="0">
      <text>
        <t>主源参考: https://fred.stlouisfed.org/series/CPILFESL
Series/Code: CPILFESL</t>
      </text>
    </comment>
    <comment ref="F11" authorId="0" shapeId="0">
      <text>
        <t>主源参考: https://fred.stlouisfed.org/series/PCEPILFE
Series/Code: PCEPILFE</t>
      </text>
    </comment>
    <comment ref="F12" authorId="0" shapeId="0">
      <text>
        <t>主源参考: https://fred.stlouisfed.org/series/T5YIFR
Series/Code: T5YIFR</t>
      </text>
    </comment>
    <comment ref="F13" authorId="0" shapeId="0">
      <text>
        <t>主源参考: https://fred.stlouisfed.org/series/UNRATE
Series/Code: UNRATE</t>
      </text>
    </comment>
    <comment ref="F14" authorId="0" shapeId="0">
      <text>
        <t>主源参考: https://fred.stlouisfed.org/series/CES0500000003
Series/Code: CES0500000003</t>
      </text>
    </comment>
    <comment ref="F15" authorId="0" shapeId="0">
      <text>
        <t>主源参考: https://fred.stlouisfed.org/series/DRCCLACBS
Series/Code: DRCCLACBS</t>
      </text>
    </comment>
    <comment ref="F16" authorId="0" shapeId="0">
      <text>
        <t>主源参考: https://fred.stlouisfed.org/series/DSPIC96
Series/Code: DSPIC96</t>
      </text>
    </comment>
    <comment ref="F17" authorId="0" shapeId="0">
      <text>
        <t>主源参考: (填你的数据源)
Series/Code: FWD PE</t>
      </text>
    </comment>
    <comment ref="F18" authorId="0" shapeId="0">
      <text>
        <t>主源参考: (填你的数据源)
Series/Code: EPS rev</t>
      </text>
    </comment>
    <comment ref="F19" authorId="0" shapeId="0">
      <text>
        <t>主源参考: https://fred.stlouisfed.org/series/BAMLH0A0HYM2
Series/Code: BAMLH0A0HYM2</t>
      </text>
    </comment>
    <comment ref="F20" authorId="0" shapeId="0">
      <text>
        <t>主源参考: https://www.freddiemac.com/pmms
Series/Code: PMMS</t>
      </text>
    </comment>
    <comment ref="F21" authorId="0" shapeId="0">
      <text>
        <t>主源参考: https://www.nar.realtor/
Series/Code: EHS</t>
      </text>
    </comment>
    <comment ref="F22" authorId="0" shapeId="0">
      <text>
        <t>主源参考: https://fred.stlouisfed.org/series/HOUST
Series/Code: HOUST</t>
      </text>
    </comment>
    <comment ref="F23" authorId="0" shapeId="0">
      <text>
        <t>主源参考: https://fred.stlouisfed.org/series/VIXCLS
Series/Code: VIXCLS</t>
      </text>
    </comment>
    <comment ref="F24" authorId="0" shapeId="0">
      <text>
        <t>主源参考: (填你使用的MOVE来源)
Series/Code: MOVE</t>
      </text>
    </comment>
    <comment ref="F25" authorId="0" shapeId="0">
      <text>
        <t>主源参考: (填你的来源)
Series/Code: N/A</t>
      </text>
    </comment>
    <comment ref="F26" authorId="0" shapeId="0">
      <text>
        <t>主源参考: (填你来源)
Series/Code: DXY</t>
      </text>
    </comment>
    <comment ref="F27" authorId="0" shapeId="0">
      <text>
        <t>主源参考: (填你来源)
Series/Code: N/A</t>
      </text>
    </comment>
    <comment ref="F28" authorId="0" shapeId="0">
      <text>
        <t>主源参考: (填你的来源)
Series/Code: TIC/EPFR</t>
      </text>
    </comment>
    <comment ref="F29" authorId="0" shapeId="0">
      <text>
        <t>主源参考: https://www.cbo.gov/publication/62105
Series/Code: CBO baseline</t>
      </text>
    </comment>
    <comment ref="F30" authorId="0" shapeId="0">
      <text>
        <t>主源参考: https://www.cbo.gov/publication/62105
Series/Code: CBO baseline</t>
      </text>
    </comment>
    <comment ref="F31" authorId="0" shapeId="0">
      <text>
        <t>主源参考: (填你的来源)
Series/Code: N/A</t>
      </text>
    </comment>
    <comment ref="F32" authorId="0" shapeId="0">
      <text>
        <t>主源参考: (填你来源)
Series/Code: FCI</t>
      </text>
    </comment>
    <comment ref="F33" authorId="0" shapeId="0">
      <text>
        <t>主源参考: (填你来源)
Series/Code: H.8</t>
      </text>
    </comment>
    <comment ref="F34" authorId="0" shapeId="0">
      <text>
        <t>主源参考: https://fred.stlouisfed.org/series/TEDRATE
Series/Code: TEDRATE</t>
      </text>
    </comment>
    <comment ref="F35" authorId="0" shapeId="0">
      <text>
        <t>主源参考: (填你来源)
Series/Code: WTI</t>
      </text>
    </comment>
    <comment ref="F36" authorId="0" shapeId="0">
      <text>
        <t>主源参考: (填你来源)
Series/Code: CRB</t>
      </text>
    </comment>
    <comment ref="F37" authorId="0" shapeId="0">
      <text>
        <t>主源参考: https://www.matteoiacoviello.com/gpr.htm
Series/Code: GPR</t>
      </text>
    </comment>
    <comment ref="F38" authorId="0" shapeId="0">
      <text>
        <t>主源参考: https://www.conference-board.org/
Series/Code: Consumer Confidence</t>
      </text>
    </comment>
    <comment ref="F39" authorId="0" shapeId="0">
      <text>
        <t>主源参考: https://www.conference-board.org/topics/CEO-Confidence/
Series/Code: CEO Confidence</t>
      </text>
    </comment>
    <comment ref="F40" authorId="0" shapeId="0">
      <text>
        <t>主源参考: https://www.policyuncertainty.com/
Series/Code: EPU</t>
      </text>
    </comment>
    <comment ref="F41" authorId="0" shapeId="0">
      <text>
        <t>主源参考: https://www.reuters.com/
Series/Code: AWS/Azure growth</t>
      </text>
    </comment>
    <comment ref="F42" authorId="0" shapeId="0">
      <text>
        <t>主源参考: (填你来源)
Series/Code: N/A</t>
      </text>
    </comment>
    <comment ref="F43" authorId="0" shapeId="0">
      <text>
        <t>主源参考: (填你来源)
Series/Code: N/A</t>
      </text>
    </comment>
    <comment ref="F44" authorId="0" shapeId="0">
      <text>
        <t>主源参考: https://coinmarketcap.com/currencies/bitcoin/
Series/Code: BTC</t>
      </text>
    </comment>
    <comment ref="F45" authorId="0" shapeId="0">
      <text>
        <t>主源参考: https://coinmarketcap.com/currencies/usd-coin/
Series/Code: USDC</t>
      </text>
    </comment>
    <comment ref="F46" authorId="0" shapeId="0">
      <text>
        <t>主源参考: https://coinmarketcap.com/view/stablecoin/
Series/Code: Stablecoins</t>
      </text>
    </comment>
  </commentList>
</comments>
</file>

<file path=xl/comments/comment2.xml><?xml version="1.0" encoding="utf-8"?>
<comments xmlns="http://schemas.openxmlformats.org/spreadsheetml/2006/main">
  <authors>
    <author>Model</author>
    <author>OpenAI</author>
  </authors>
  <commentList>
    <comment ref="B2" authorId="0" shapeId="0">
      <text>
        <t>填本次模型更新日期（例如 2026-03-01）</t>
      </text>
    </comment>
    <comment ref="B7" authorId="1" shapeId="0">
      <text>
        <t>样例值，接近 2026-02-26 官方收益率差（10Y≈4.02%, 3M≈3.68%）。
来源参考: https://fred.stlouisfed.org/series/DGS10</t>
      </text>
    </comment>
    <comment ref="B8" authorId="1" shapeId="0">
      <text>
        <t>演示样例值；请用你自己的权威数据源替换。
来源参考: https://fred.stlouisfed.org/series/SOFR</t>
      </text>
    </comment>
    <comment ref="B9" authorId="1" shapeId="0">
      <text>
        <t>演示样例值；请用你自己的权威数据源替换。
来源参考: https://fred.stlouisfed.org/series/WALCL</t>
      </text>
    </comment>
    <comment ref="B10" authorId="1" shapeId="0">
      <text>
        <t>演示样例值；请用你自己的权威数据源替换。
来源参考: (填你的来源或模型)</t>
      </text>
    </comment>
    <comment ref="B11" authorId="1" shapeId="0">
      <text>
        <t>样例值，对应 BEA 2025Q4 实际GDP环比折年 1.4%。
来源参考: https://www.bea.gov/</t>
      </text>
    </comment>
    <comment ref="B12" authorId="1" shapeId="0">
      <text>
        <t>演示样例值；请用你自己的权威数据源替换。
来源参考: (填你使用的PMI来源)</t>
      </text>
    </comment>
    <comment ref="B13" authorId="1" shapeId="0">
      <text>
        <t>演示样例值；请用你自己的权威数据源替换。
来源参考: https://fred.stlouisfed.org/series/IC4WSA</t>
      </text>
    </comment>
    <comment ref="B14" authorId="1" shapeId="0">
      <text>
        <t>演示样例值；请用你自己的权威数据源替换。
来源参考: https://www.conference-board.org/</t>
      </text>
    </comment>
    <comment ref="B15" authorId="1" shapeId="0">
      <text>
        <t>样例值，对应 2026年1月核心CPI同比 2.5%。
来源参考: https://fred.stlouisfed.org/series/CPILFESL</t>
      </text>
    </comment>
    <comment ref="B16" authorId="1" shapeId="0">
      <text>
        <t>演示样例值；请用你自己的权威数据源替换。
来源参考: https://fred.stlouisfed.org/series/PCEPILFE</t>
      </text>
    </comment>
    <comment ref="B17" authorId="1" shapeId="0">
      <text>
        <t>演示样例值；请用你自己的权威数据源替换。
来源参考: https://fred.stlouisfed.org/series/T5YIFR</t>
      </text>
    </comment>
    <comment ref="B18" authorId="1" shapeId="0">
      <text>
        <t>样例值，对应 2026年1月失业率 4.3%。
来源参考: https://fred.stlouisfed.org/series/UNRATE</t>
      </text>
    </comment>
    <comment ref="B19" authorId="1" shapeId="0">
      <text>
        <t>演示样例值；请用你自己的权威数据源替换。
来源参考: https://fred.stlouisfed.org/series/CES0500000003</t>
      </text>
    </comment>
    <comment ref="B20" authorId="1" shapeId="0">
      <text>
        <t>演示样例值；请用你自己的权威数据源替换。
来源参考: https://fred.stlouisfed.org/series/DRCCLACBS</t>
      </text>
    </comment>
    <comment ref="B21" authorId="1" shapeId="0">
      <text>
        <t>演示样例值；请用你自己的权威数据源替换。
来源参考: https://fred.stlouisfed.org/series/DSPIC96</t>
      </text>
    </comment>
    <comment ref="B22" authorId="1" shapeId="0">
      <text>
        <t>演示样例值；请用你自己的权威数据源替换。
来源参考: (填你的数据源)</t>
      </text>
    </comment>
    <comment ref="B23" authorId="1" shapeId="0">
      <text>
        <t>演示样例值；请用你自己的权威数据源替换。
来源参考: (填你的数据源)</t>
      </text>
    </comment>
    <comment ref="B24" authorId="1" shapeId="0">
      <text>
        <t>演示样例值；请用你自己的权威数据源替换。
来源参考: https://fred.stlouisfed.org/series/BAMLH0A0HYM2</t>
      </text>
    </comment>
    <comment ref="B25" authorId="1" shapeId="0">
      <text>
        <t>样例值，对应 Freddie Mac 2026-02-26 30Y FRM 5.98%。
来源参考: https://www.freddiemac.com/pmms</t>
      </text>
    </comment>
    <comment ref="B26" authorId="1" shapeId="0">
      <text>
        <t>样例值，对应 NAR 2026年1月成屋销售折年 3.91M。
来源参考: https://www.nar.realtor/</t>
      </text>
    </comment>
    <comment ref="B27" authorId="1" shapeId="0">
      <text>
        <t>演示样例值；请用你自己的权威数据源替换。
来源参考: https://fred.stlouisfed.org/series/HOUST</t>
      </text>
    </comment>
    <comment ref="B28" authorId="1" shapeId="0">
      <text>
        <t>演示样例值；请用你自己的权威数据源替换。
来源参考: https://fred.stlouisfed.org/series/VIXCLS</t>
      </text>
    </comment>
    <comment ref="B29" authorId="1" shapeId="0">
      <text>
        <t>演示样例值；请用你自己的权威数据源替换。
来源参考: (填你使用的MOVE来源)</t>
      </text>
    </comment>
    <comment ref="B30" authorId="1" shapeId="0">
      <text>
        <t>演示样例值；请用你自己的权威数据源替换。
来源参考: (填你的来源)</t>
      </text>
    </comment>
    <comment ref="B31" authorId="1" shapeId="0">
      <text>
        <t>演示样例值；请用你自己的权威数据源替换。
来源参考: (填你来源)</t>
      </text>
    </comment>
    <comment ref="B32" authorId="1" shapeId="0">
      <text>
        <t>演示样例值；请用你自己的权威数据源替换。
来源参考: (填你来源)</t>
      </text>
    </comment>
    <comment ref="B33" authorId="1" shapeId="0">
      <text>
        <t>演示样例值；请用你自己的权威数据源替换。
来源参考: (填你的来源)</t>
      </text>
    </comment>
    <comment ref="B34" authorId="1" shapeId="0">
      <text>
        <t>样例值，对应 CBO 2026 基线赤字/GDP 约 5.8%。
来源参考: https://www.cbo.gov/publication/62105</t>
      </text>
    </comment>
    <comment ref="B35" authorId="1" shapeId="0">
      <text>
        <t>样例值，对应 CBO 2026 债务/GDP 约 101%。
来源参考: https://www.cbo.gov/publication/62105</t>
      </text>
    </comment>
    <comment ref="B36" authorId="1" shapeId="0">
      <text>
        <t>演示样例值；请用你自己的权威数据源替换。
来源参考: (填你的来源)</t>
      </text>
    </comment>
    <comment ref="B37" authorId="1" shapeId="0">
      <text>
        <t>演示样例值；请用你自己的权威数据源替换。
来源参考: (填你来源)</t>
      </text>
    </comment>
    <comment ref="B38" authorId="1" shapeId="0">
      <text>
        <t>演示样例值；请用你自己的权威数据源替换。
来源参考: (填你来源)</t>
      </text>
    </comment>
    <comment ref="B39" authorId="1" shapeId="0">
      <text>
        <t>演示样例值；请用你自己的权威数据源替换。
来源参考: https://fred.stlouisfed.org/series/TEDRATE</t>
      </text>
    </comment>
    <comment ref="B40" authorId="1" shapeId="0">
      <text>
        <t>演示样例值；请用你自己的权威数据源替换。
来源参考: (填你来源)</t>
      </text>
    </comment>
    <comment ref="B41" authorId="1" shapeId="0">
      <text>
        <t>演示样例值；请用你自己的权威数据源替换。
来源参考: (填你来源)</t>
      </text>
    </comment>
    <comment ref="B42" authorId="1" shapeId="0">
      <text>
        <t>演示样例值；请用你自己的权威数据源替换。
来源参考: https://www.matteoiacoviello.com/gpr.htm</t>
      </text>
    </comment>
    <comment ref="B43" authorId="1" shapeId="0">
      <text>
        <t>样例值，对应 2026年2月消费者信心 91.2。
来源参考: https://www.conference-board.org/</t>
      </text>
    </comment>
    <comment ref="B44" authorId="1" shapeId="0">
      <text>
        <t>样例值，对应 2026Q1 CEO Confidence 59。
来源参考: https://www.conference-board.org/topics/CEO-Confidence/</t>
      </text>
    </comment>
    <comment ref="B45" authorId="1" shapeId="0">
      <text>
        <t>演示样例值；请用你自己的权威数据源替换。
来源参考: https://www.policyuncertainty.com/</t>
      </text>
    </comment>
    <comment ref="B46" authorId="1" shapeId="0">
      <text>
        <t>演示样例值；请用你自己的权威数据源替换。
来源参考: https://www.reuters.com/</t>
      </text>
    </comment>
    <comment ref="B47" authorId="1" shapeId="0">
      <text>
        <t>演示样例值；请用你自己的权威数据源替换。
来源参考: (填你来源)</t>
      </text>
    </comment>
    <comment ref="B48" authorId="1" shapeId="0">
      <text>
        <t>演示样例值；请用你自己的权威数据源替换。
来源参考: (填你来源)</t>
      </text>
    </comment>
    <comment ref="B49" authorId="1" shapeId="0">
      <text>
        <t>演示样例值；请用你自己的权威数据源替换。
来源参考: https://coinmarketcap.com/currencies/bitcoin/</t>
      </text>
    </comment>
    <comment ref="B50" authorId="1" shapeId="0">
      <text>
        <t>演示样例值；请用你自己的权威数据源替换。
来源参考: https://coinmarketcap.com/currencies/usd-coin/</t>
      </text>
    </comment>
    <comment ref="B51" authorId="1" shapeId="0">
      <text>
        <t>演示样例值；请用你自己的权威数据源替换。
来源参考: https://coinmarketcap.com/view/stablecoin/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39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28</row>
      <rowOff>0</rowOff>
    </from>
    <ext cx="28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Map" displayName="SourceMap" ref="A5:J50" headerRowCount="1">
  <autoFilter ref="A5:J50"/>
  <tableColumns count="10">
    <tableColumn id="1" name="IndicatorCode"/>
    <tableColumn id="2" name="DimensionID"/>
    <tableColumn id="3" name="IndicatorName"/>
    <tableColumn id="4" name="主数据源"/>
    <tableColumn id="5" name="建议系列代码/字段"/>
    <tableColumn id="6" name="备选源"/>
    <tableColumn id="7" name="更新频率"/>
    <tableColumn id="8" name="单位"/>
    <tableColumn id="9" name="抓取说明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iMap" displayName="ApiMap" ref="A3:H14" headerRowCount="1">
  <autoFilter ref="A3:H14"/>
  <tableColumns count="8">
    <tableColumn id="1" name="Source"/>
    <tableColumn id="2" name="典型指标"/>
    <tableColumn id="3" name="建议代码/端点"/>
    <tableColumn id="4" name="官网/入口"/>
    <tableColumn id="5" name="更新时间"/>
    <tableColumn id="6" name="单位规范"/>
    <tableColumn id="7" name="优先级"/>
    <tableColumn id="8" name="说明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W19" sqref="W19"/>
    </sheetView>
  </sheetViews>
  <sheetFormatPr baseColWidth="10" defaultColWidth="8.83203125" defaultRowHeight="13"/>
  <cols>
    <col width="22" customWidth="1" style="62" min="1" max="1"/>
    <col width="14" customWidth="1" style="62" min="2" max="5"/>
    <col width="20" customWidth="1" style="62" min="6" max="6"/>
    <col width="14" customWidth="1" style="62" min="7" max="12"/>
  </cols>
  <sheetData>
    <row r="1" ht="24" customHeight="1" s="62">
      <c r="A1" s="80" t="inlineStr">
        <is>
          <t>14维机构级宏观监控模型｜仪表盘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</row>
    <row r="2" ht="22" customHeight="1" s="62">
      <c r="A2" s="69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</row>
    <row r="3" ht="22" customHeight="1" s="62"/>
    <row r="4" ht="22" customHeight="1" s="62">
      <c r="A4" s="47" t="inlineStr">
        <is>
          <t>更新日</t>
        </is>
      </c>
      <c r="B4" s="48">
        <f>Inputs!B2</f>
        <v/>
      </c>
      <c r="D4" s="47" t="inlineStr">
        <is>
          <t>总分</t>
        </is>
      </c>
      <c r="E4" s="48">
        <f>Scores!D70</f>
        <v/>
      </c>
      <c r="G4" s="47" t="inlineStr">
        <is>
          <t>状态</t>
        </is>
      </c>
      <c r="H4" s="49">
        <f>Scores!F70</f>
        <v/>
      </c>
      <c r="J4" s="47" t="inlineStr">
        <is>
          <t>触发预警</t>
        </is>
      </c>
      <c r="K4" s="50">
        <f>COUNTIF(Alerts!E6:E12,"YES")</f>
        <v/>
      </c>
    </row>
    <row r="5" ht="22" customHeight="1" s="62"/>
    <row r="6" ht="24" customHeight="1" s="62">
      <c r="A6" s="80" t="inlineStr">
        <is>
          <t>执行摘要</t>
        </is>
      </c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</row>
    <row r="7" ht="22" customHeight="1" s="62">
      <c r="A7" s="51" t="inlineStr">
        <is>
          <t>模型定位</t>
        </is>
      </c>
      <c r="B7" s="67" t="inlineStr">
        <is>
          <t>用 14 个维度把“增长 / 通胀 / 流动性 / 风险 / 财政 / 外部 / 主题”放在一张图里。</t>
        </is>
      </c>
    </row>
    <row r="8" ht="22" customHeight="1" s="62">
      <c r="A8" s="51" t="inlineStr">
        <is>
          <t>当前阅读方式</t>
        </is>
      </c>
      <c r="B8" s="67" t="inlineStr">
        <is>
          <t>先看总分与状态，再看预警灯号，最后看维度贡献与拖累项。</t>
        </is>
      </c>
    </row>
    <row r="9" ht="22" customHeight="1" s="62">
      <c r="A9" s="51" t="inlineStr">
        <is>
          <t>建议动作</t>
        </is>
      </c>
      <c r="B9" s="67" t="inlineStr">
        <is>
          <t>若预警&gt;=2条且总分跌入45以下，建议转向防御；若总分持续站上60且预警清零，可提高风险偏好。</t>
        </is>
      </c>
    </row>
    <row r="10" ht="22" customHeight="1" s="62"/>
    <row r="11" ht="22" customHeight="1" s="62"/>
    <row r="12" ht="24" customHeight="1" s="62">
      <c r="A12" s="53" t="inlineStr">
        <is>
          <t>维度</t>
        </is>
      </c>
      <c r="B12" s="53" t="inlineStr">
        <is>
          <t>权重</t>
        </is>
      </c>
      <c r="C12" s="53" t="inlineStr">
        <is>
          <t>维度分</t>
        </is>
      </c>
      <c r="D12" s="53" t="inlineStr">
        <is>
          <t>贡献</t>
        </is>
      </c>
      <c r="E12" s="53" t="inlineStr">
        <is>
          <t>层级</t>
        </is>
      </c>
      <c r="F12" s="53" t="inlineStr">
        <is>
          <t>更新频率</t>
        </is>
      </c>
      <c r="H12" s="80" t="inlineStr">
        <is>
          <t>关键看点</t>
        </is>
      </c>
      <c r="I12" s="66" t="n"/>
      <c r="J12" s="66" t="n"/>
      <c r="K12" s="66" t="n"/>
      <c r="L12" s="66" t="n"/>
    </row>
    <row r="13" ht="22" customHeight="1" s="62">
      <c r="A13" s="54">
        <f>Scores!B55</f>
        <v/>
      </c>
      <c r="B13" s="55">
        <f>Scores!C55/100</f>
        <v/>
      </c>
      <c r="C13" s="56">
        <f>Scores!D55</f>
        <v/>
      </c>
      <c r="D13" s="56">
        <f>Scores!E55</f>
        <v/>
      </c>
      <c r="E13" s="54">
        <f>INDEX(Dimensions!$C$2:$C$15,MATCH(INDEX(Scores!$A$55:$A$68,ROW()-12),Dimensions!$B$2:$B$15,0))</f>
        <v/>
      </c>
      <c r="F13" s="54">
        <f>INDEX(Dimensions!$F$2:$F$15,MATCH(INDEX(Scores!$A$55:$A$68,ROW()-12),Dimensions!$B$2:$B$15,0))</f>
        <v/>
      </c>
      <c r="H13" s="70" t="inlineStr">
        <is>
          <t>前三支撑</t>
        </is>
      </c>
      <c r="J13" s="70" t="inlineStr">
        <is>
          <t>前三拖累</t>
        </is>
      </c>
    </row>
    <row r="14" ht="22" customHeight="1" s="62">
      <c r="A14" s="54">
        <f>Scores!B56</f>
        <v/>
      </c>
      <c r="B14" s="55">
        <f>Scores!C56/100</f>
        <v/>
      </c>
      <c r="C14" s="56">
        <f>Scores!D56</f>
        <v/>
      </c>
      <c r="D14" s="56">
        <f>Scores!E56</f>
        <v/>
      </c>
      <c r="E14" s="54">
        <f>INDEX(Dimensions!$C$2:$C$15,MATCH(INDEX(Scores!$A$55:$A$68,ROW()-12),Dimensions!$B$2:$B$15,0))</f>
        <v/>
      </c>
      <c r="F14" s="54">
        <f>INDEX(Dimensions!$F$2:$F$15,MATCH(INDEX(Scores!$A$55:$A$68,ROW()-12),Dimensions!$B$2:$B$15,0))</f>
        <v/>
      </c>
      <c r="H14" s="63">
        <f>INDEX($A$13:$A$26,MATCH(LARGE($D$13:$D$26,1),$D$13:$D$26,0))</f>
        <v/>
      </c>
      <c r="I14" s="63">
        <f>INDEX($D$13:$D$26,MATCH($H14,$A$13:$A$26,0))</f>
        <v/>
      </c>
      <c r="J14" s="63">
        <f>INDEX($A$13:$A$26,MATCH(SMALL($D$13:$D$26,1),$D$13:$D$26,0))</f>
        <v/>
      </c>
      <c r="K14" s="63">
        <f>INDEX($D$13:$D$26,MATCH($J14,$A$13:$A$26,0))</f>
        <v/>
      </c>
    </row>
    <row r="15" ht="22" customHeight="1" s="62">
      <c r="A15" s="54">
        <f>Scores!B57</f>
        <v/>
      </c>
      <c r="B15" s="55">
        <f>Scores!C57/100</f>
        <v/>
      </c>
      <c r="C15" s="56">
        <f>Scores!D57</f>
        <v/>
      </c>
      <c r="D15" s="56">
        <f>Scores!E57</f>
        <v/>
      </c>
      <c r="E15" s="54">
        <f>INDEX(Dimensions!$C$2:$C$15,MATCH(INDEX(Scores!$A$55:$A$68,ROW()-12),Dimensions!$B$2:$B$15,0))</f>
        <v/>
      </c>
      <c r="F15" s="54">
        <f>INDEX(Dimensions!$F$2:$F$15,MATCH(INDEX(Scores!$A$55:$A$68,ROW()-12),Dimensions!$B$2:$B$15,0))</f>
        <v/>
      </c>
      <c r="H15" s="63">
        <f>INDEX($A$13:$A$26,MATCH(LARGE($D$13:$D$26,2),$D$13:$D$26,0))</f>
        <v/>
      </c>
      <c r="I15" s="63">
        <f>INDEX($D$13:$D$26,MATCH($H15,$A$13:$A$26,0))</f>
        <v/>
      </c>
      <c r="J15" s="63">
        <f>INDEX($A$13:$A$26,MATCH(SMALL($D$13:$D$26,2),$D$13:$D$26,0))</f>
        <v/>
      </c>
      <c r="K15" s="63">
        <f>INDEX($D$13:$D$26,MATCH($J15,$A$13:$A$26,0))</f>
        <v/>
      </c>
    </row>
    <row r="16" ht="22" customHeight="1" s="62">
      <c r="A16" s="54">
        <f>Scores!B58</f>
        <v/>
      </c>
      <c r="B16" s="55">
        <f>Scores!C58/100</f>
        <v/>
      </c>
      <c r="C16" s="56">
        <f>Scores!D58</f>
        <v/>
      </c>
      <c r="D16" s="56">
        <f>Scores!E58</f>
        <v/>
      </c>
      <c r="E16" s="54">
        <f>INDEX(Dimensions!$C$2:$C$15,MATCH(INDEX(Scores!$A$55:$A$68,ROW()-12),Dimensions!$B$2:$B$15,0))</f>
        <v/>
      </c>
      <c r="F16" s="54">
        <f>INDEX(Dimensions!$F$2:$F$15,MATCH(INDEX(Scores!$A$55:$A$68,ROW()-12),Dimensions!$B$2:$B$15,0))</f>
        <v/>
      </c>
      <c r="H16" s="63">
        <f>INDEX($A$13:$A$26,MATCH(LARGE($D$13:$D$26,3),$D$13:$D$26,0))</f>
        <v/>
      </c>
      <c r="I16" s="63">
        <f>INDEX($D$13:$D$26,MATCH($H16,$A$13:$A$26,0))</f>
        <v/>
      </c>
      <c r="J16" s="63">
        <f>INDEX($A$13:$A$26,MATCH(SMALL($D$13:$D$26,3),$D$13:$D$26,0))</f>
        <v/>
      </c>
      <c r="K16" s="63">
        <f>INDEX($D$13:$D$26,MATCH($J16,$A$13:$A$26,0))</f>
        <v/>
      </c>
    </row>
    <row r="17" ht="22" customHeight="1" s="62">
      <c r="A17" s="54">
        <f>Scores!B59</f>
        <v/>
      </c>
      <c r="B17" s="55">
        <f>Scores!C59/100</f>
        <v/>
      </c>
      <c r="C17" s="56">
        <f>Scores!D59</f>
        <v/>
      </c>
      <c r="D17" s="56">
        <f>Scores!E59</f>
        <v/>
      </c>
      <c r="E17" s="54">
        <f>INDEX(Dimensions!$C$2:$C$15,MATCH(INDEX(Scores!$A$55:$A$68,ROW()-12),Dimensions!$B$2:$B$15,0))</f>
        <v/>
      </c>
      <c r="F17" s="54">
        <f>INDEX(Dimensions!$F$2:$F$15,MATCH(INDEX(Scores!$A$55:$A$68,ROW()-12),Dimensions!$B$2:$B$15,0))</f>
        <v/>
      </c>
    </row>
    <row r="18" ht="22" customHeight="1" s="62">
      <c r="A18" s="54">
        <f>Scores!B60</f>
        <v/>
      </c>
      <c r="B18" s="55">
        <f>Scores!C60/100</f>
        <v/>
      </c>
      <c r="C18" s="56">
        <f>Scores!D60</f>
        <v/>
      </c>
      <c r="D18" s="56">
        <f>Scores!E60</f>
        <v/>
      </c>
      <c r="E18" s="54">
        <f>INDEX(Dimensions!$C$2:$C$15,MATCH(INDEX(Scores!$A$55:$A$68,ROW()-12),Dimensions!$B$2:$B$15,0))</f>
        <v/>
      </c>
      <c r="F18" s="54">
        <f>INDEX(Dimensions!$F$2:$F$15,MATCH(INDEX(Scores!$A$55:$A$68,ROW()-12),Dimensions!$B$2:$B$15,0))</f>
        <v/>
      </c>
      <c r="H18" s="61" t="inlineStr">
        <is>
          <t>预警明细</t>
        </is>
      </c>
    </row>
    <row r="19" ht="22" customHeight="1" s="62">
      <c r="A19" s="54">
        <f>Scores!B61</f>
        <v/>
      </c>
      <c r="B19" s="55">
        <f>Scores!C61/100</f>
        <v/>
      </c>
      <c r="C19" s="56">
        <f>Scores!D61</f>
        <v/>
      </c>
      <c r="D19" s="56">
        <f>Scores!E61</f>
        <v/>
      </c>
      <c r="E19" s="54">
        <f>INDEX(Dimensions!$C$2:$C$15,MATCH(INDEX(Scores!$A$55:$A$68,ROW()-12),Dimensions!$B$2:$B$15,0))</f>
        <v/>
      </c>
      <c r="F19" s="54">
        <f>INDEX(Dimensions!$F$2:$F$15,MATCH(INDEX(Scores!$A$55:$A$68,ROW()-12),Dimensions!$B$2:$B$15,0))</f>
        <v/>
      </c>
      <c r="H19" s="64">
        <f>Alerts!C6</f>
        <v/>
      </c>
      <c r="I19" s="64" t="n"/>
      <c r="J19" s="64" t="n"/>
      <c r="K19" s="63">
        <f>Alerts!E6</f>
        <v/>
      </c>
      <c r="L19" s="58" t="inlineStr">
        <is>
          <t>YES=触发</t>
        </is>
      </c>
    </row>
    <row r="20" ht="22" customHeight="1" s="62">
      <c r="A20" s="54">
        <f>Scores!B62</f>
        <v/>
      </c>
      <c r="B20" s="55">
        <f>Scores!C62/100</f>
        <v/>
      </c>
      <c r="C20" s="56">
        <f>Scores!D62</f>
        <v/>
      </c>
      <c r="D20" s="56">
        <f>Scores!E62</f>
        <v/>
      </c>
      <c r="E20" s="54">
        <f>INDEX(Dimensions!$C$2:$C$15,MATCH(INDEX(Scores!$A$55:$A$68,ROW()-12),Dimensions!$B$2:$B$15,0))</f>
        <v/>
      </c>
      <c r="F20" s="54">
        <f>INDEX(Dimensions!$F$2:$F$15,MATCH(INDEX(Scores!$A$55:$A$68,ROW()-12),Dimensions!$B$2:$B$15,0))</f>
        <v/>
      </c>
      <c r="H20" s="64">
        <f>Alerts!C7</f>
        <v/>
      </c>
      <c r="I20" s="64" t="n"/>
      <c r="J20" s="64" t="n"/>
      <c r="K20" s="63">
        <f>Alerts!E7</f>
        <v/>
      </c>
    </row>
    <row r="21" ht="22" customHeight="1" s="62">
      <c r="A21" s="54">
        <f>Scores!B63</f>
        <v/>
      </c>
      <c r="B21" s="55">
        <f>Scores!C63/100</f>
        <v/>
      </c>
      <c r="C21" s="56">
        <f>Scores!D63</f>
        <v/>
      </c>
      <c r="D21" s="56">
        <f>Scores!E63</f>
        <v/>
      </c>
      <c r="E21" s="54">
        <f>INDEX(Dimensions!$C$2:$C$15,MATCH(INDEX(Scores!$A$55:$A$68,ROW()-12),Dimensions!$B$2:$B$15,0))</f>
        <v/>
      </c>
      <c r="F21" s="54">
        <f>INDEX(Dimensions!$F$2:$F$15,MATCH(INDEX(Scores!$A$55:$A$68,ROW()-12),Dimensions!$B$2:$B$15,0))</f>
        <v/>
      </c>
      <c r="H21" s="64">
        <f>Alerts!C8</f>
        <v/>
      </c>
      <c r="I21" s="64" t="n"/>
      <c r="J21" s="64" t="n"/>
      <c r="K21" s="63">
        <f>Alerts!E8</f>
        <v/>
      </c>
    </row>
    <row r="22" ht="22" customHeight="1" s="62">
      <c r="A22" s="54">
        <f>Scores!B64</f>
        <v/>
      </c>
      <c r="B22" s="55">
        <f>Scores!C64/100</f>
        <v/>
      </c>
      <c r="C22" s="56">
        <f>Scores!D64</f>
        <v/>
      </c>
      <c r="D22" s="56">
        <f>Scores!E64</f>
        <v/>
      </c>
      <c r="E22" s="54">
        <f>INDEX(Dimensions!$C$2:$C$15,MATCH(INDEX(Scores!$A$55:$A$68,ROW()-12),Dimensions!$B$2:$B$15,0))</f>
        <v/>
      </c>
      <c r="F22" s="54">
        <f>INDEX(Dimensions!$F$2:$F$15,MATCH(INDEX(Scores!$A$55:$A$68,ROW()-12),Dimensions!$B$2:$B$15,0))</f>
        <v/>
      </c>
      <c r="H22" s="64">
        <f>Alerts!C9</f>
        <v/>
      </c>
      <c r="I22" s="64" t="n"/>
      <c r="J22" s="64" t="n"/>
      <c r="K22" s="63">
        <f>Alerts!E9</f>
        <v/>
      </c>
    </row>
    <row r="23" ht="22" customHeight="1" s="62">
      <c r="A23" s="54">
        <f>Scores!B65</f>
        <v/>
      </c>
      <c r="B23" s="55">
        <f>Scores!C65/100</f>
        <v/>
      </c>
      <c r="C23" s="56">
        <f>Scores!D65</f>
        <v/>
      </c>
      <c r="D23" s="56">
        <f>Scores!E65</f>
        <v/>
      </c>
      <c r="E23" s="54">
        <f>INDEX(Dimensions!$C$2:$C$15,MATCH(INDEX(Scores!$A$55:$A$68,ROW()-12),Dimensions!$B$2:$B$15,0))</f>
        <v/>
      </c>
      <c r="F23" s="54">
        <f>INDEX(Dimensions!$F$2:$F$15,MATCH(INDEX(Scores!$A$55:$A$68,ROW()-12),Dimensions!$B$2:$B$15,0))</f>
        <v/>
      </c>
      <c r="H23" s="64">
        <f>Alerts!C10</f>
        <v/>
      </c>
      <c r="I23" s="64" t="n"/>
      <c r="J23" s="64" t="n"/>
      <c r="K23" s="63">
        <f>Alerts!E10</f>
        <v/>
      </c>
    </row>
    <row r="24" ht="22" customHeight="1" s="62">
      <c r="A24" s="54">
        <f>Scores!B66</f>
        <v/>
      </c>
      <c r="B24" s="55">
        <f>Scores!C66/100</f>
        <v/>
      </c>
      <c r="C24" s="56">
        <f>Scores!D66</f>
        <v/>
      </c>
      <c r="D24" s="56">
        <f>Scores!E66</f>
        <v/>
      </c>
      <c r="E24" s="54">
        <f>INDEX(Dimensions!$C$2:$C$15,MATCH(INDEX(Scores!$A$55:$A$68,ROW()-12),Dimensions!$B$2:$B$15,0))</f>
        <v/>
      </c>
      <c r="F24" s="54">
        <f>INDEX(Dimensions!$F$2:$F$15,MATCH(INDEX(Scores!$A$55:$A$68,ROW()-12),Dimensions!$B$2:$B$15,0))</f>
        <v/>
      </c>
      <c r="H24" s="64">
        <f>Alerts!C11</f>
        <v/>
      </c>
      <c r="I24" s="64" t="n"/>
      <c r="J24" s="64" t="n"/>
      <c r="K24" s="63">
        <f>Alerts!E11</f>
        <v/>
      </c>
    </row>
    <row r="25" ht="22" customHeight="1" s="62">
      <c r="A25" s="54">
        <f>Scores!B67</f>
        <v/>
      </c>
      <c r="B25" s="55">
        <f>Scores!C67/100</f>
        <v/>
      </c>
      <c r="C25" s="56">
        <f>Scores!D67</f>
        <v/>
      </c>
      <c r="D25" s="56">
        <f>Scores!E67</f>
        <v/>
      </c>
      <c r="E25" s="54">
        <f>INDEX(Dimensions!$C$2:$C$15,MATCH(INDEX(Scores!$A$55:$A$68,ROW()-12),Dimensions!$B$2:$B$15,0))</f>
        <v/>
      </c>
      <c r="F25" s="54">
        <f>INDEX(Dimensions!$F$2:$F$15,MATCH(INDEX(Scores!$A$55:$A$68,ROW()-12),Dimensions!$B$2:$B$15,0))</f>
        <v/>
      </c>
      <c r="H25" s="64">
        <f>Alerts!C12</f>
        <v/>
      </c>
      <c r="I25" s="64" t="n"/>
      <c r="J25" s="64" t="n"/>
      <c r="K25" s="63">
        <f>Alerts!E12</f>
        <v/>
      </c>
    </row>
    <row r="26" ht="22" customHeight="1" s="62">
      <c r="A26" s="54">
        <f>Scores!B68</f>
        <v/>
      </c>
      <c r="B26" s="55">
        <f>Scores!C68/100</f>
        <v/>
      </c>
      <c r="C26" s="56">
        <f>Scores!D68</f>
        <v/>
      </c>
      <c r="D26" s="56">
        <f>Scores!E68</f>
        <v/>
      </c>
      <c r="E26" s="54">
        <f>INDEX(Dimensions!$C$2:$C$15,MATCH(INDEX(Scores!$A$55:$A$68,ROW()-12),Dimensions!$B$2:$B$15,0))</f>
        <v/>
      </c>
      <c r="F26" s="54">
        <f>INDEX(Dimensions!$F$2:$F$15,MATCH(INDEX(Scores!$A$55:$A$68,ROW()-12),Dimensions!$B$2:$B$15,0))</f>
        <v/>
      </c>
    </row>
    <row r="27" ht="22" customHeight="1" s="62"/>
    <row r="28" ht="22" customHeight="1" s="62"/>
    <row r="29" ht="22" customHeight="1" s="62"/>
    <row r="30" ht="22" customHeight="1" s="62"/>
    <row r="31" ht="22" customHeight="1" s="62"/>
    <row r="32" ht="22" customHeight="1" s="62"/>
    <row r="33" ht="22" customHeight="1" s="62"/>
    <row r="34" ht="22" customHeight="1" s="62"/>
    <row r="35" ht="22" customHeight="1" s="62"/>
    <row r="36" ht="22" customHeight="1" s="62"/>
    <row r="37" ht="22" customHeight="1" s="62"/>
    <row r="38" ht="22" customHeight="1" s="62"/>
    <row r="39" ht="22" customHeight="1" s="62"/>
  </sheetData>
  <mergeCells count="16">
    <mergeCell ref="H18:K18"/>
    <mergeCell ref="H24:J24"/>
    <mergeCell ref="H12:L12"/>
    <mergeCell ref="H22:J22"/>
    <mergeCell ref="B7:L7"/>
    <mergeCell ref="H19:J19"/>
    <mergeCell ref="H23:J23"/>
    <mergeCell ref="A1:L2"/>
    <mergeCell ref="B9:L9"/>
    <mergeCell ref="B8:L8"/>
    <mergeCell ref="A6:L6"/>
    <mergeCell ref="J13:K13"/>
    <mergeCell ref="H13:I13"/>
    <mergeCell ref="H25:J25"/>
    <mergeCell ref="H21:J21"/>
    <mergeCell ref="H20:J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tabSelected="1" zoomScaleNormal="100" workbookViewId="0">
      <selection activeCell="W19" sqref="W19"/>
    </sheetView>
  </sheetViews>
  <sheetFormatPr baseColWidth="10" defaultColWidth="8.6640625" defaultRowHeight="15" customHeight="1"/>
  <cols>
    <col width="18" customWidth="1" style="62" min="1" max="4"/>
    <col width="16" customWidth="1" style="62" min="5" max="8"/>
  </cols>
  <sheetData>
    <row r="1" ht="15" customHeight="1" s="62">
      <c r="A1" s="71" t="inlineStr">
        <is>
          <t>14维机构级宏观监控模型｜仪表盘</t>
        </is>
      </c>
    </row>
    <row r="2" ht="15" customHeight="1" s="62"/>
    <row r="4" ht="15" customHeight="1" s="62">
      <c r="A4" s="1" t="inlineStr">
        <is>
          <t>模型更新日</t>
        </is>
      </c>
      <c r="B4" s="2">
        <f>Inputs!B2</f>
        <v/>
      </c>
      <c r="D4" s="1" t="inlineStr">
        <is>
          <t>总分</t>
        </is>
      </c>
      <c r="E4" s="2">
        <f>IF(Inputs!B2="","",Scores!D70)</f>
        <v/>
      </c>
      <c r="F4" s="3" t="inlineStr">
        <is>
          <t>预警统计</t>
        </is>
      </c>
      <c r="G4" s="1" t="inlineStr">
        <is>
          <t>状态</t>
        </is>
      </c>
      <c r="H4" s="2">
        <f>IF(Inputs!B2="","",Scores!F70)</f>
        <v/>
      </c>
    </row>
    <row r="5" ht="15" customHeight="1" s="62">
      <c r="F5" s="4">
        <f>COUNTIF(Alerts!E6:E12,"YES")</f>
        <v/>
      </c>
      <c r="G5" s="5" t="inlineStr">
        <is>
          <t>条触发</t>
        </is>
      </c>
    </row>
    <row r="6" ht="15" customHeight="1" s="62">
      <c r="A6" s="6" t="inlineStr">
        <is>
          <t>维度</t>
        </is>
      </c>
      <c r="B6" s="6" t="inlineStr">
        <is>
          <t>权重</t>
        </is>
      </c>
      <c r="C6" s="6" t="inlineStr">
        <is>
          <t>维度分</t>
        </is>
      </c>
      <c r="D6" s="6" t="inlineStr">
        <is>
          <t>贡献</t>
        </is>
      </c>
      <c r="F6" s="6" t="inlineStr">
        <is>
          <t>主题</t>
        </is>
      </c>
      <c r="G6" s="6" t="inlineStr">
        <is>
          <t>说明</t>
        </is>
      </c>
    </row>
    <row r="7" ht="63.75" customHeight="1" s="62">
      <c r="A7" s="75">
        <f>Scores!B55</f>
        <v/>
      </c>
      <c r="B7" s="8">
        <f>Scores!C55/100</f>
        <v/>
      </c>
      <c r="C7" s="75">
        <f>Scores!D55</f>
        <v/>
      </c>
      <c r="D7" s="9">
        <f>Scores!E55</f>
        <v/>
      </c>
      <c r="F7" s="75">
        <f>Dimensions!C2</f>
        <v/>
      </c>
      <c r="G7" s="75">
        <f>Dimensions!E2</f>
        <v/>
      </c>
    </row>
    <row r="8" ht="48" customHeight="1" s="62">
      <c r="A8" s="75">
        <f>Scores!B56</f>
        <v/>
      </c>
      <c r="B8" s="8">
        <f>Scores!C56/100</f>
        <v/>
      </c>
      <c r="C8" s="75">
        <f>Scores!D56</f>
        <v/>
      </c>
      <c r="D8" s="9">
        <f>Scores!E56</f>
        <v/>
      </c>
      <c r="F8" s="75">
        <f>Dimensions!C3</f>
        <v/>
      </c>
      <c r="G8" s="75">
        <f>Dimensions!E3</f>
        <v/>
      </c>
    </row>
    <row r="9" ht="63.75" customHeight="1" s="62">
      <c r="A9" s="75">
        <f>Scores!B57</f>
        <v/>
      </c>
      <c r="B9" s="8">
        <f>Scores!C57/100</f>
        <v/>
      </c>
      <c r="C9" s="75">
        <f>Scores!D57</f>
        <v/>
      </c>
      <c r="D9" s="9">
        <f>Scores!E57</f>
        <v/>
      </c>
      <c r="F9" s="75">
        <f>Dimensions!C4</f>
        <v/>
      </c>
      <c r="G9" s="75">
        <f>Dimensions!E4</f>
        <v/>
      </c>
    </row>
    <row r="10" ht="32.25" customHeight="1" s="62">
      <c r="A10" s="75">
        <f>Scores!B58</f>
        <v/>
      </c>
      <c r="B10" s="8">
        <f>Scores!C58/100</f>
        <v/>
      </c>
      <c r="C10" s="75">
        <f>Scores!D58</f>
        <v/>
      </c>
      <c r="D10" s="9">
        <f>Scores!E58</f>
        <v/>
      </c>
      <c r="F10" s="75">
        <f>Dimensions!C5</f>
        <v/>
      </c>
      <c r="G10" s="75">
        <f>Dimensions!E5</f>
        <v/>
      </c>
    </row>
    <row r="11" ht="48" customHeight="1" s="62">
      <c r="A11" s="75">
        <f>Scores!B59</f>
        <v/>
      </c>
      <c r="B11" s="8">
        <f>Scores!C59/100</f>
        <v/>
      </c>
      <c r="C11" s="75">
        <f>Scores!D59</f>
        <v/>
      </c>
      <c r="D11" s="9">
        <f>Scores!E59</f>
        <v/>
      </c>
      <c r="F11" s="75">
        <f>Dimensions!C6</f>
        <v/>
      </c>
      <c r="G11" s="75">
        <f>Dimensions!E6</f>
        <v/>
      </c>
    </row>
    <row r="12" ht="48" customHeight="1" s="62">
      <c r="A12" s="75">
        <f>Scores!B60</f>
        <v/>
      </c>
      <c r="B12" s="8">
        <f>Scores!C60/100</f>
        <v/>
      </c>
      <c r="C12" s="75">
        <f>Scores!D60</f>
        <v/>
      </c>
      <c r="D12" s="9">
        <f>Scores!E60</f>
        <v/>
      </c>
      <c r="F12" s="75">
        <f>Dimensions!C7</f>
        <v/>
      </c>
      <c r="G12" s="75">
        <f>Dimensions!E7</f>
        <v/>
      </c>
    </row>
    <row r="13" ht="48" customHeight="1" s="62">
      <c r="A13" s="75">
        <f>Scores!B61</f>
        <v/>
      </c>
      <c r="B13" s="8">
        <f>Scores!C61/100</f>
        <v/>
      </c>
      <c r="C13" s="75">
        <f>Scores!D61</f>
        <v/>
      </c>
      <c r="D13" s="9">
        <f>Scores!E61</f>
        <v/>
      </c>
      <c r="F13" s="75">
        <f>Dimensions!C8</f>
        <v/>
      </c>
      <c r="G13" s="75">
        <f>Dimensions!E8</f>
        <v/>
      </c>
    </row>
    <row r="14" ht="48" customHeight="1" s="62">
      <c r="A14" s="75">
        <f>Scores!B62</f>
        <v/>
      </c>
      <c r="B14" s="8">
        <f>Scores!C62/100</f>
        <v/>
      </c>
      <c r="C14" s="75">
        <f>Scores!D62</f>
        <v/>
      </c>
      <c r="D14" s="9">
        <f>Scores!E62</f>
        <v/>
      </c>
      <c r="F14" s="75">
        <f>Dimensions!C9</f>
        <v/>
      </c>
      <c r="G14" s="75">
        <f>Dimensions!E9</f>
        <v/>
      </c>
    </row>
    <row r="15" ht="32.25" customHeight="1" s="62">
      <c r="A15" s="75">
        <f>Scores!B63</f>
        <v/>
      </c>
      <c r="B15" s="8">
        <f>Scores!C63/100</f>
        <v/>
      </c>
      <c r="C15" s="75">
        <f>Scores!D63</f>
        <v/>
      </c>
      <c r="D15" s="9">
        <f>Scores!E63</f>
        <v/>
      </c>
      <c r="F15" s="75">
        <f>Dimensions!C10</f>
        <v/>
      </c>
      <c r="G15" s="75">
        <f>Dimensions!E10</f>
        <v/>
      </c>
    </row>
    <row r="16" ht="48" customHeight="1" s="62">
      <c r="A16" s="75">
        <f>Scores!B64</f>
        <v/>
      </c>
      <c r="B16" s="8">
        <f>Scores!C64/100</f>
        <v/>
      </c>
      <c r="C16" s="75">
        <f>Scores!D64</f>
        <v/>
      </c>
      <c r="D16" s="9">
        <f>Scores!E64</f>
        <v/>
      </c>
      <c r="F16" s="75">
        <f>Dimensions!C11</f>
        <v/>
      </c>
      <c r="G16" s="75">
        <f>Dimensions!E11</f>
        <v/>
      </c>
    </row>
    <row r="17" ht="48" customHeight="1" s="62">
      <c r="A17" s="75">
        <f>Scores!B65</f>
        <v/>
      </c>
      <c r="B17" s="8">
        <f>Scores!C65/100</f>
        <v/>
      </c>
      <c r="C17" s="75">
        <f>Scores!D65</f>
        <v/>
      </c>
      <c r="D17" s="9">
        <f>Scores!E65</f>
        <v/>
      </c>
      <c r="F17" s="75">
        <f>Dimensions!C12</f>
        <v/>
      </c>
      <c r="G17" s="75">
        <f>Dimensions!E12</f>
        <v/>
      </c>
    </row>
    <row r="18" ht="48" customHeight="1" s="62">
      <c r="A18" s="75">
        <f>Scores!B66</f>
        <v/>
      </c>
      <c r="B18" s="8">
        <f>Scores!C66/100</f>
        <v/>
      </c>
      <c r="C18" s="75">
        <f>Scores!D66</f>
        <v/>
      </c>
      <c r="D18" s="9">
        <f>Scores!E66</f>
        <v/>
      </c>
      <c r="F18" s="75">
        <f>Dimensions!C13</f>
        <v/>
      </c>
      <c r="G18" s="75">
        <f>Dimensions!E13</f>
        <v/>
      </c>
    </row>
    <row r="19" ht="48" customHeight="1" s="62">
      <c r="A19" s="75">
        <f>Scores!B67</f>
        <v/>
      </c>
      <c r="B19" s="8">
        <f>Scores!C67/100</f>
        <v/>
      </c>
      <c r="C19" s="75">
        <f>Scores!D67</f>
        <v/>
      </c>
      <c r="D19" s="9">
        <f>Scores!E67</f>
        <v/>
      </c>
      <c r="F19" s="75">
        <f>Dimensions!C14</f>
        <v/>
      </c>
      <c r="G19" s="75">
        <f>Dimensions!E14</f>
        <v/>
      </c>
    </row>
    <row r="20" ht="48" customHeight="1" s="62">
      <c r="A20" s="75">
        <f>Scores!B68</f>
        <v/>
      </c>
      <c r="B20" s="8">
        <f>Scores!C68/100</f>
        <v/>
      </c>
      <c r="C20" s="75">
        <f>Scores!D68</f>
        <v/>
      </c>
      <c r="D20" s="9">
        <f>Scores!E68</f>
        <v/>
      </c>
      <c r="F20" s="75">
        <f>Dimensions!C15</f>
        <v/>
      </c>
      <c r="G20" s="75">
        <f>Dimensions!E15</f>
        <v/>
      </c>
    </row>
    <row r="22" ht="15" customHeight="1" s="62">
      <c r="A22" s="72" t="inlineStr">
        <is>
          <t>使用提示：蓝色表签用于录入与参数；橙色/红色表签用于结果与预警。样例数据版仅作演示，不构成投资判断。</t>
        </is>
      </c>
    </row>
    <row r="23" ht="15" customHeight="1" s="62"/>
  </sheetData>
  <mergeCells count="2">
    <mergeCell ref="A1:H2"/>
    <mergeCell ref="A22:H2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10" defaultColWidth="8.83203125" defaultRowHeight="13"/>
  <cols>
    <col width="16" customWidth="1" style="62" min="1" max="1"/>
    <col width="10" customWidth="1" style="62" min="2" max="2"/>
    <col width="28" customWidth="1" style="62" min="3" max="3"/>
    <col width="24" customWidth="1" style="62" min="4" max="4"/>
    <col width="22" customWidth="1" style="62" min="5" max="6"/>
    <col width="14" customWidth="1" style="62" min="7" max="7"/>
    <col width="10" customWidth="1" style="62" min="8" max="8"/>
    <col width="36" customWidth="1" style="62" min="9" max="9"/>
    <col width="18" customWidth="1" style="62" min="10" max="10"/>
  </cols>
  <sheetData>
    <row r="1" ht="24" customHeight="1" s="62">
      <c r="A1" s="80" t="inlineStr">
        <is>
          <t>14维机构级模型｜数据源映射与抓取口径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</row>
    <row r="3" ht="140" customHeight="1" s="62">
      <c r="A3" s="51" t="inlineStr">
        <is>
          <t>用途</t>
        </is>
      </c>
      <c r="B3" s="67" t="inlineStr">
        <is>
          <t>把每个指标的“主数据源 / 备选源 / 建议代码 / 更新频率 / 单位 / 抓取说明”统一到一张表，便于团队周更。</t>
        </is>
      </c>
    </row>
    <row r="5" ht="28" customHeight="1" s="62">
      <c r="A5" s="53" t="inlineStr">
        <is>
          <t>IndicatorCode</t>
        </is>
      </c>
      <c r="B5" s="53" t="inlineStr">
        <is>
          <t>DimensionID</t>
        </is>
      </c>
      <c r="C5" s="53" t="inlineStr">
        <is>
          <t>IndicatorName</t>
        </is>
      </c>
      <c r="D5" s="53" t="inlineStr">
        <is>
          <t>主数据源</t>
        </is>
      </c>
      <c r="E5" s="53" t="inlineStr">
        <is>
          <t>建议系列代码/字段</t>
        </is>
      </c>
      <c r="F5" s="53" t="inlineStr">
        <is>
          <t>备选源</t>
        </is>
      </c>
      <c r="G5" s="53" t="inlineStr">
        <is>
          <t>更新频率</t>
        </is>
      </c>
      <c r="H5" s="53" t="inlineStr">
        <is>
          <t>单位</t>
        </is>
      </c>
      <c r="I5" s="53" t="inlineStr">
        <is>
          <t>抓取说明</t>
        </is>
      </c>
      <c r="J5" s="53" t="inlineStr">
        <is>
          <t>备注</t>
        </is>
      </c>
    </row>
    <row r="6" ht="28" customHeight="1" s="62">
      <c r="A6" s="59" t="inlineStr">
        <is>
          <t>YC_10Y3M</t>
        </is>
      </c>
      <c r="B6" s="59" t="inlineStr">
        <is>
          <t>D01</t>
        </is>
      </c>
      <c r="C6" s="59" t="inlineStr">
        <is>
          <t>10Y-3M利差（bps）</t>
        </is>
      </c>
      <c r="D6" s="59" t="inlineStr">
        <is>
          <t>FRED (H.15)</t>
        </is>
      </c>
      <c r="E6" s="59" t="inlineStr">
        <is>
          <t>DGS10 &amp; DGS3MO</t>
        </is>
      </c>
      <c r="F6" s="59" t="inlineStr">
        <is>
          <t>https://fred.stlouisfed.org/series/DGS10</t>
        </is>
      </c>
      <c r="G6" s="59" t="inlineStr">
        <is>
          <t>Daily</t>
        </is>
      </c>
      <c r="H6" s="59" t="inlineStr">
        <is>
          <t>bps</t>
        </is>
      </c>
      <c r="I6" s="59" t="inlineStr">
        <is>
          <t>建议固定单一主源，减少口径切换。</t>
        </is>
      </c>
      <c r="J6" s="59" t="n"/>
    </row>
    <row r="7" ht="28" customHeight="1" s="62">
      <c r="A7" s="59" t="inlineStr">
        <is>
          <t>SOFR</t>
        </is>
      </c>
      <c r="B7" s="59" t="inlineStr">
        <is>
          <t>D01</t>
        </is>
      </c>
      <c r="C7" s="59" t="inlineStr">
        <is>
          <t>SOFR（%）</t>
        </is>
      </c>
      <c r="D7" s="59" t="inlineStr">
        <is>
          <t>NY Fed / FRED</t>
        </is>
      </c>
      <c r="E7" s="59" t="inlineStr">
        <is>
          <t>SOFR</t>
        </is>
      </c>
      <c r="F7" s="59" t="inlineStr">
        <is>
          <t>https://fred.stlouisfed.org/series/SOFR</t>
        </is>
      </c>
      <c r="G7" s="59" t="inlineStr">
        <is>
          <t>Daily</t>
        </is>
      </c>
      <c r="H7" s="59" t="inlineStr">
        <is>
          <t>%</t>
        </is>
      </c>
      <c r="I7" s="59" t="inlineStr">
        <is>
          <t>建议固定单一主源，减少口径切换。</t>
        </is>
      </c>
      <c r="J7" s="59" t="n"/>
    </row>
    <row r="8" ht="28" customHeight="1" s="62">
      <c r="A8" s="59" t="inlineStr">
        <is>
          <t>FED_ASSETS</t>
        </is>
      </c>
      <c r="B8" s="59" t="inlineStr">
        <is>
          <t>D01</t>
        </is>
      </c>
      <c r="C8" s="59" t="inlineStr">
        <is>
          <t>美联储总资产（$T）</t>
        </is>
      </c>
      <c r="D8" s="59" t="inlineStr">
        <is>
          <t>FRED (H.4.1)</t>
        </is>
      </c>
      <c r="E8" s="59" t="inlineStr">
        <is>
          <t>WALCL</t>
        </is>
      </c>
      <c r="F8" s="59" t="inlineStr">
        <is>
          <t>https://fred.stlouisfed.org/series/WALCL</t>
        </is>
      </c>
      <c r="G8" s="59" t="inlineStr">
        <is>
          <t>Weekly</t>
        </is>
      </c>
      <c r="H8" s="59" t="inlineStr">
        <is>
          <t>$T</t>
        </is>
      </c>
      <c r="I8" s="59" t="inlineStr">
        <is>
          <t>建议固定单一主源，减少口径切换。</t>
        </is>
      </c>
      <c r="J8" s="59" t="n"/>
    </row>
    <row r="9" ht="28" customHeight="1" s="62">
      <c r="A9" s="59" t="inlineStr">
        <is>
          <t>NET_LIQ_PROXY</t>
        </is>
      </c>
      <c r="B9" s="59" t="inlineStr">
        <is>
          <t>D01</t>
        </is>
      </c>
      <c r="C9" s="59" t="inlineStr">
        <is>
          <t>净流动性代理（自定义）</t>
        </is>
      </c>
      <c r="D9" s="59" t="inlineStr">
        <is>
          <t>自定义（FRED / Treasury / NY Fed）</t>
        </is>
      </c>
      <c r="E9" s="59" t="inlineStr">
        <is>
          <t>WALCL, WTREGEN, RRPONTSYD</t>
        </is>
      </c>
      <c r="F9" s="59" t="inlineStr">
        <is>
          <t>BTFP/准备金数据</t>
        </is>
      </c>
      <c r="G9" s="59" t="inlineStr">
        <is>
          <t>Weekly</t>
        </is>
      </c>
      <c r="H9" s="59" t="inlineStr">
        <is>
          <t>index</t>
        </is>
      </c>
      <c r="I9" s="59" t="inlineStr">
        <is>
          <t>推荐公式：Fed总资产 - TGA - RRP；先统一单位后再填入 Inputs。</t>
        </is>
      </c>
      <c r="J9" s="59" t="inlineStr">
        <is>
          <t>最好保留你的内部版本定义</t>
        </is>
      </c>
    </row>
    <row r="10" ht="14" customHeight="1" s="62">
      <c r="A10" s="59" t="inlineStr">
        <is>
          <t>GDP_QOQ_SAAR</t>
        </is>
      </c>
      <c r="B10" s="59" t="inlineStr">
        <is>
          <t>D02</t>
        </is>
      </c>
      <c r="C10" s="59" t="inlineStr">
        <is>
          <t>实际GDP环比折年（%）</t>
        </is>
      </c>
      <c r="D10" s="59" t="inlineStr">
        <is>
          <t>BEA</t>
        </is>
      </c>
      <c r="E10" s="59" t="inlineStr">
        <is>
          <t>GDP</t>
        </is>
      </c>
      <c r="F10" s="59" t="inlineStr">
        <is>
          <t>FRED</t>
        </is>
      </c>
      <c r="G10" s="59" t="inlineStr">
        <is>
          <t>Quarterly</t>
        </is>
      </c>
      <c r="H10" s="59" t="inlineStr">
        <is>
          <t>%</t>
        </is>
      </c>
      <c r="I10" s="59" t="inlineStr">
        <is>
          <t>优先用官方首发/修订值；保持同一版次。</t>
        </is>
      </c>
      <c r="J10" s="59" t="n"/>
    </row>
    <row r="11" ht="28" customHeight="1" s="62">
      <c r="A11" s="59" t="inlineStr">
        <is>
          <t>PMI_MAN</t>
        </is>
      </c>
      <c r="B11" s="59" t="inlineStr">
        <is>
          <t>D02</t>
        </is>
      </c>
      <c r="C11" s="59" t="inlineStr">
        <is>
          <t>制造业PMI</t>
        </is>
      </c>
      <c r="D11" s="59" t="inlineStr">
        <is>
          <t>ISM/S&amp;P</t>
        </is>
      </c>
      <c r="E11" s="59" t="inlineStr">
        <is>
          <t>PMI</t>
        </is>
      </c>
      <c r="F11" s="59" t="inlineStr">
        <is>
          <t>S&amp;P Global / Conference Board</t>
        </is>
      </c>
      <c r="G11" s="59" t="inlineStr">
        <is>
          <t>Monthly</t>
        </is>
      </c>
      <c r="H11" s="59" t="inlineStr">
        <is>
          <t>index</t>
        </is>
      </c>
      <c r="I11" s="59" t="inlineStr">
        <is>
          <t>软数据易波动，建议用3M均值。</t>
        </is>
      </c>
      <c r="J11" s="59" t="n"/>
    </row>
    <row r="12" ht="28" customHeight="1" s="62">
      <c r="A12" s="59" t="inlineStr">
        <is>
          <t>CLAIMS_4WMA</t>
        </is>
      </c>
      <c r="B12" s="59" t="inlineStr">
        <is>
          <t>D02</t>
        </is>
      </c>
      <c r="C12" s="59" t="inlineStr">
        <is>
          <t>初请失业金四周均值</t>
        </is>
      </c>
      <c r="D12" s="59" t="inlineStr">
        <is>
          <t>FRED</t>
        </is>
      </c>
      <c r="E12" s="59" t="inlineStr">
        <is>
          <t>IC4WSA</t>
        </is>
      </c>
      <c r="F12" s="59" t="inlineStr">
        <is>
          <t>https://fred.stlouisfed.org/series/IC4WSA</t>
        </is>
      </c>
      <c r="G12" s="59" t="inlineStr">
        <is>
          <t>Weekly</t>
        </is>
      </c>
      <c r="H12" s="59" t="inlineStr">
        <is>
          <t>k</t>
        </is>
      </c>
      <c r="I12" s="59" t="inlineStr">
        <is>
          <t>建议固定单一主源，减少口径切换。</t>
        </is>
      </c>
      <c r="J12" s="59" t="n"/>
    </row>
    <row r="13" ht="28" customHeight="1" s="62">
      <c r="A13" s="59" t="inlineStr">
        <is>
          <t>LEI</t>
        </is>
      </c>
      <c r="B13" s="59" t="inlineStr">
        <is>
          <t>D02</t>
        </is>
      </c>
      <c r="C13" s="59" t="inlineStr">
        <is>
          <t>领先指标（LEI）同比（%）</t>
        </is>
      </c>
      <c r="D13" s="59" t="inlineStr">
        <is>
          <t>Conference Board</t>
        </is>
      </c>
      <c r="E13" s="59" t="inlineStr">
        <is>
          <t>LEI YoY</t>
        </is>
      </c>
      <c r="F13" s="59" t="inlineStr">
        <is>
          <t>https://www.conference-board.org/</t>
        </is>
      </c>
      <c r="G13" s="59" t="inlineStr">
        <is>
          <t>Monthly</t>
        </is>
      </c>
      <c r="H13" s="59" t="inlineStr">
        <is>
          <t>%</t>
        </is>
      </c>
      <c r="I13" s="59" t="inlineStr">
        <is>
          <t>建议固定单一主源，减少口径切换。</t>
        </is>
      </c>
      <c r="J13" s="59" t="n"/>
    </row>
    <row r="14" ht="28" customHeight="1" s="62">
      <c r="A14" s="59" t="inlineStr">
        <is>
          <t>CORE_CPI_YOY</t>
        </is>
      </c>
      <c r="B14" s="59" t="inlineStr">
        <is>
          <t>D03</t>
        </is>
      </c>
      <c r="C14" s="59" t="inlineStr">
        <is>
          <t>核心CPI同比（%）</t>
        </is>
      </c>
      <c r="D14" s="59" t="inlineStr">
        <is>
          <t>BLS/FRED</t>
        </is>
      </c>
      <c r="E14" s="59" t="inlineStr">
        <is>
          <t>CPILFESL</t>
        </is>
      </c>
      <c r="F14" s="59" t="inlineStr">
        <is>
          <t>https://fred.stlouisfed.org/series/CPILFESL</t>
        </is>
      </c>
      <c r="G14" s="59" t="inlineStr">
        <is>
          <t>Monthly</t>
        </is>
      </c>
      <c r="H14" s="59" t="inlineStr">
        <is>
          <t>%</t>
        </is>
      </c>
      <c r="I14" s="59" t="inlineStr">
        <is>
          <t>建议固定单一主源，减少口径切换。</t>
        </is>
      </c>
      <c r="J14" s="59" t="n"/>
    </row>
    <row r="15" ht="14" customHeight="1" s="62">
      <c r="A15" s="59" t="inlineStr">
        <is>
          <t>CORE_PCE_YOY</t>
        </is>
      </c>
      <c r="B15" s="59" t="inlineStr">
        <is>
          <t>D03</t>
        </is>
      </c>
      <c r="C15" s="59" t="inlineStr">
        <is>
          <t>核心PCE同比（%）</t>
        </is>
      </c>
      <c r="D15" s="59" t="inlineStr">
        <is>
          <t>BEA/FRED</t>
        </is>
      </c>
      <c r="E15" s="59" t="inlineStr">
        <is>
          <t>PCEPILFE</t>
        </is>
      </c>
      <c r="F15" s="59" t="inlineStr">
        <is>
          <t>FRED</t>
        </is>
      </c>
      <c r="G15" s="59" t="inlineStr">
        <is>
          <t>Monthly</t>
        </is>
      </c>
      <c r="H15" s="59" t="inlineStr">
        <is>
          <t>%</t>
        </is>
      </c>
      <c r="I15" s="59" t="inlineStr">
        <is>
          <t>优先用官方首发/修订值；保持同一版次。</t>
        </is>
      </c>
      <c r="J15" s="59" t="n"/>
    </row>
    <row r="16" ht="28" customHeight="1" s="62">
      <c r="A16" s="59" t="inlineStr">
        <is>
          <t>BREAKEVEN_5Y5Y</t>
        </is>
      </c>
      <c r="B16" s="59" t="inlineStr">
        <is>
          <t>D03</t>
        </is>
      </c>
      <c r="C16" s="59" t="inlineStr">
        <is>
          <t>5Y5Y通胀预期（%）</t>
        </is>
      </c>
      <c r="D16" s="59" t="inlineStr">
        <is>
          <t>FRED</t>
        </is>
      </c>
      <c r="E16" s="59" t="inlineStr">
        <is>
          <t>T5YIFR</t>
        </is>
      </c>
      <c r="F16" s="59" t="inlineStr">
        <is>
          <t>https://fred.stlouisfed.org/series/T5YIFR</t>
        </is>
      </c>
      <c r="G16" s="59" t="inlineStr">
        <is>
          <t>Daily</t>
        </is>
      </c>
      <c r="H16" s="59" t="inlineStr">
        <is>
          <t>%</t>
        </is>
      </c>
      <c r="I16" s="59" t="inlineStr">
        <is>
          <t>建议固定单一主源，减少口径切换。</t>
        </is>
      </c>
      <c r="J16" s="59" t="n"/>
    </row>
    <row r="17" ht="28" customHeight="1" s="62">
      <c r="A17" s="59" t="inlineStr">
        <is>
          <t>UNRATE</t>
        </is>
      </c>
      <c r="B17" s="59" t="inlineStr">
        <is>
          <t>D04</t>
        </is>
      </c>
      <c r="C17" s="59" t="inlineStr">
        <is>
          <t>失业率（%）</t>
        </is>
      </c>
      <c r="D17" s="59" t="inlineStr">
        <is>
          <t>BLS/FRED</t>
        </is>
      </c>
      <c r="E17" s="59" t="inlineStr">
        <is>
          <t>UNRATE</t>
        </is>
      </c>
      <c r="F17" s="59" t="inlineStr">
        <is>
          <t>https://fred.stlouisfed.org/series/UNRATE</t>
        </is>
      </c>
      <c r="G17" s="59" t="inlineStr">
        <is>
          <t>Monthly</t>
        </is>
      </c>
      <c r="H17" s="59" t="inlineStr">
        <is>
          <t>%</t>
        </is>
      </c>
      <c r="I17" s="59" t="inlineStr">
        <is>
          <t>建议固定单一主源，减少口径切换。</t>
        </is>
      </c>
      <c r="J17" s="59" t="n"/>
    </row>
    <row r="18" ht="28" customHeight="1" s="62">
      <c r="A18" s="59" t="inlineStr">
        <is>
          <t>WAGE_GROWTH</t>
        </is>
      </c>
      <c r="B18" s="59" t="inlineStr">
        <is>
          <t>D04</t>
        </is>
      </c>
      <c r="C18" s="59" t="inlineStr">
        <is>
          <t>平均时薪同比（%）</t>
        </is>
      </c>
      <c r="D18" s="59" t="inlineStr">
        <is>
          <t>BLS/FRED</t>
        </is>
      </c>
      <c r="E18" s="59" t="inlineStr">
        <is>
          <t>CES0500000003</t>
        </is>
      </c>
      <c r="F18" s="59" t="inlineStr">
        <is>
          <t>https://fred.stlouisfed.org/series/CES0500000003</t>
        </is>
      </c>
      <c r="G18" s="59" t="inlineStr">
        <is>
          <t>Monthly</t>
        </is>
      </c>
      <c r="H18" s="59" t="inlineStr">
        <is>
          <t>%</t>
        </is>
      </c>
      <c r="I18" s="59" t="inlineStr">
        <is>
          <t>建议固定单一主源，减少口径切换。</t>
        </is>
      </c>
      <c r="J18" s="59" t="n"/>
    </row>
    <row r="19" ht="28" customHeight="1" s="62">
      <c r="A19" s="59" t="inlineStr">
        <is>
          <t>CC_DELINQ</t>
        </is>
      </c>
      <c r="B19" s="59" t="inlineStr">
        <is>
          <t>D04</t>
        </is>
      </c>
      <c r="C19" s="59" t="inlineStr">
        <is>
          <t>信用卡拖欠率（%）</t>
        </is>
      </c>
      <c r="D19" s="59" t="inlineStr">
        <is>
          <t>FRED</t>
        </is>
      </c>
      <c r="E19" s="59" t="inlineStr">
        <is>
          <t>DRCCLACBS</t>
        </is>
      </c>
      <c r="F19" s="59" t="inlineStr">
        <is>
          <t>https://fred.stlouisfed.org/series/DRCCLACBS</t>
        </is>
      </c>
      <c r="G19" s="59" t="inlineStr">
        <is>
          <t>Quarterly</t>
        </is>
      </c>
      <c r="H19" s="59" t="inlineStr">
        <is>
          <t>%</t>
        </is>
      </c>
      <c r="I19" s="59" t="inlineStr">
        <is>
          <t>建议固定单一主源，减少口径切换。</t>
        </is>
      </c>
      <c r="J19" s="59" t="n"/>
    </row>
    <row r="20" ht="28" customHeight="1" s="62">
      <c r="A20" s="59" t="inlineStr">
        <is>
          <t>REAL_DISP_INC</t>
        </is>
      </c>
      <c r="B20" s="59" t="inlineStr">
        <is>
          <t>D04</t>
        </is>
      </c>
      <c r="C20" s="59" t="inlineStr">
        <is>
          <t>实际可支配收入同比（%）</t>
        </is>
      </c>
      <c r="D20" s="59" t="inlineStr">
        <is>
          <t>BEA/FRED</t>
        </is>
      </c>
      <c r="E20" s="59" t="inlineStr">
        <is>
          <t>DSPIC96</t>
        </is>
      </c>
      <c r="F20" s="59" t="inlineStr">
        <is>
          <t>https://fred.stlouisfed.org/series/DSPIC96</t>
        </is>
      </c>
      <c r="G20" s="59" t="inlineStr">
        <is>
          <t>Monthly</t>
        </is>
      </c>
      <c r="H20" s="59" t="inlineStr">
        <is>
          <t>%</t>
        </is>
      </c>
      <c r="I20" s="59" t="inlineStr">
        <is>
          <t>建议固定单一主源，减少口径切换。</t>
        </is>
      </c>
      <c r="J20" s="59" t="n"/>
    </row>
    <row r="21" ht="14" customHeight="1" s="62">
      <c r="A21" s="59" t="inlineStr">
        <is>
          <t>SPX_FWD_PE</t>
        </is>
      </c>
      <c r="B21" s="59" t="inlineStr">
        <is>
          <t>D05</t>
        </is>
      </c>
      <c r="C21" s="59" t="inlineStr">
        <is>
          <t>标普500 Forward P/E（x）</t>
        </is>
      </c>
      <c r="D21" s="59" t="inlineStr">
        <is>
          <t>FactSet/S&amp;P</t>
        </is>
      </c>
      <c r="E21" s="59" t="inlineStr">
        <is>
          <t>FWD PE</t>
        </is>
      </c>
      <c r="F21" s="59" t="n"/>
      <c r="G21" s="59" t="inlineStr">
        <is>
          <t>Weekly</t>
        </is>
      </c>
      <c r="H21" s="59" t="inlineStr">
        <is>
          <t>x</t>
        </is>
      </c>
      <c r="I21" s="59" t="inlineStr">
        <is>
          <t>建议固定单一主源，减少口径切换。</t>
        </is>
      </c>
      <c r="J21" s="59" t="n"/>
    </row>
    <row r="22" ht="28" customHeight="1" s="62">
      <c r="A22" s="59" t="inlineStr">
        <is>
          <t>EPS_REV_BREADTH</t>
        </is>
      </c>
      <c r="B22" s="59" t="inlineStr">
        <is>
          <t>D05</t>
        </is>
      </c>
      <c r="C22" s="59" t="inlineStr">
        <is>
          <t>EPS修正广度（上调-下调，%）</t>
        </is>
      </c>
      <c r="D22" s="59" t="inlineStr">
        <is>
          <t>IBES/FactSet</t>
        </is>
      </c>
      <c r="E22" s="59" t="inlineStr">
        <is>
          <t>EPS rev</t>
        </is>
      </c>
      <c r="F22" s="59" t="n"/>
      <c r="G22" s="59" t="inlineStr">
        <is>
          <t>Weekly</t>
        </is>
      </c>
      <c r="H22" s="59" t="inlineStr">
        <is>
          <t>%</t>
        </is>
      </c>
      <c r="I22" s="59" t="inlineStr">
        <is>
          <t>建议固定单一主源，减少口径切换。</t>
        </is>
      </c>
      <c r="J22" s="59" t="n"/>
    </row>
    <row r="23" ht="28" customHeight="1" s="62">
      <c r="A23" s="59" t="inlineStr">
        <is>
          <t>HY_OAS</t>
        </is>
      </c>
      <c r="B23" s="59" t="inlineStr">
        <is>
          <t>D05</t>
        </is>
      </c>
      <c r="C23" s="59" t="inlineStr">
        <is>
          <t>高收益信用利差OAS（bps）</t>
        </is>
      </c>
      <c r="D23" s="59" t="inlineStr">
        <is>
          <t>FRED</t>
        </is>
      </c>
      <c r="E23" s="59" t="inlineStr">
        <is>
          <t>BAMLH0A0HYM2</t>
        </is>
      </c>
      <c r="F23" s="59" t="inlineStr">
        <is>
          <t>https://fred.stlouisfed.org/series/BAMLH0A0HYM2</t>
        </is>
      </c>
      <c r="G23" s="59" t="inlineStr">
        <is>
          <t>Daily</t>
        </is>
      </c>
      <c r="H23" s="59" t="inlineStr">
        <is>
          <t>bps</t>
        </is>
      </c>
      <c r="I23" s="59" t="inlineStr">
        <is>
          <t>建议固定单一主源，减少口径切换。</t>
        </is>
      </c>
      <c r="J23" s="59" t="n"/>
    </row>
    <row r="24" ht="28" customHeight="1" s="62">
      <c r="A24" s="59" t="inlineStr">
        <is>
          <t>MORTGAGE_30Y</t>
        </is>
      </c>
      <c r="B24" s="59" t="inlineStr">
        <is>
          <t>D06</t>
        </is>
      </c>
      <c r="C24" s="59" t="inlineStr">
        <is>
          <t>30年按揭利率（%）</t>
        </is>
      </c>
      <c r="D24" s="59" t="inlineStr">
        <is>
          <t>Freddie Mac</t>
        </is>
      </c>
      <c r="E24" s="59" t="inlineStr">
        <is>
          <t>PMMS</t>
        </is>
      </c>
      <c r="F24" s="59" t="inlineStr">
        <is>
          <t>https://www.freddiemac.com/pmms</t>
        </is>
      </c>
      <c r="G24" s="59" t="inlineStr">
        <is>
          <t>Weekly</t>
        </is>
      </c>
      <c r="H24" s="59" t="inlineStr">
        <is>
          <t>%</t>
        </is>
      </c>
      <c r="I24" s="59" t="inlineStr">
        <is>
          <t>建议固定单一主源，减少口径切换。</t>
        </is>
      </c>
      <c r="J24" s="59" t="n"/>
    </row>
    <row r="25" ht="28" customHeight="1" s="62">
      <c r="A25" s="59" t="inlineStr">
        <is>
          <t>EXIST_HOME_SALES</t>
        </is>
      </c>
      <c r="B25" s="59" t="inlineStr">
        <is>
          <t>D06</t>
        </is>
      </c>
      <c r="C25" s="59" t="inlineStr">
        <is>
          <t>成屋销售折年（百万套）</t>
        </is>
      </c>
      <c r="D25" s="59" t="inlineStr">
        <is>
          <t>NAR</t>
        </is>
      </c>
      <c r="E25" s="59" t="inlineStr">
        <is>
          <t>EHS</t>
        </is>
      </c>
      <c r="F25" s="59" t="inlineStr">
        <is>
          <t>https://www.nar.realtor/</t>
        </is>
      </c>
      <c r="G25" s="59" t="inlineStr">
        <is>
          <t>Monthly</t>
        </is>
      </c>
      <c r="H25" s="59" t="inlineStr">
        <is>
          <t>M</t>
        </is>
      </c>
      <c r="I25" s="59" t="inlineStr">
        <is>
          <t>建议固定单一主源，减少口径切换。</t>
        </is>
      </c>
      <c r="J25" s="59" t="n"/>
    </row>
    <row r="26" ht="28" customHeight="1" s="62">
      <c r="A26" s="59" t="inlineStr">
        <is>
          <t>HOUSING_STARTS</t>
        </is>
      </c>
      <c r="B26" s="59" t="inlineStr">
        <is>
          <t>D06</t>
        </is>
      </c>
      <c r="C26" s="59" t="inlineStr">
        <is>
          <t>新屋开工（百万套）</t>
        </is>
      </c>
      <c r="D26" s="59" t="inlineStr">
        <is>
          <t>Census/FRED</t>
        </is>
      </c>
      <c r="E26" s="59" t="inlineStr">
        <is>
          <t>HOUST</t>
        </is>
      </c>
      <c r="F26" s="59" t="inlineStr">
        <is>
          <t>https://fred.stlouisfed.org/series/HOUST</t>
        </is>
      </c>
      <c r="G26" s="59" t="inlineStr">
        <is>
          <t>Monthly</t>
        </is>
      </c>
      <c r="H26" s="59" t="inlineStr">
        <is>
          <t>M</t>
        </is>
      </c>
      <c r="I26" s="59" t="inlineStr">
        <is>
          <t>建议固定单一主源，减少口径切换。</t>
        </is>
      </c>
      <c r="J26" s="59" t="n"/>
    </row>
    <row r="27" ht="28" customHeight="1" s="62">
      <c r="A27" s="59" t="inlineStr">
        <is>
          <t>VIX</t>
        </is>
      </c>
      <c r="B27" s="59" t="inlineStr">
        <is>
          <t>D07</t>
        </is>
      </c>
      <c r="C27" s="59" t="inlineStr">
        <is>
          <t>VIX</t>
        </is>
      </c>
      <c r="D27" s="59" t="inlineStr">
        <is>
          <t>CBOE/FRED</t>
        </is>
      </c>
      <c r="E27" s="59" t="inlineStr">
        <is>
          <t>VIXCLS</t>
        </is>
      </c>
      <c r="F27" s="59" t="inlineStr">
        <is>
          <t>https://fred.stlouisfed.org/series/VIXCLS</t>
        </is>
      </c>
      <c r="G27" s="59" t="inlineStr">
        <is>
          <t>Daily</t>
        </is>
      </c>
      <c r="H27" s="59" t="inlineStr">
        <is>
          <t>index</t>
        </is>
      </c>
      <c r="I27" s="59" t="inlineStr">
        <is>
          <t>建议固定单一主源，减少口径切换。</t>
        </is>
      </c>
      <c r="J27" s="59" t="n"/>
    </row>
    <row r="28" ht="14" customHeight="1" s="62">
      <c r="A28" s="59" t="inlineStr">
        <is>
          <t>MOVE</t>
        </is>
      </c>
      <c r="B28" s="59" t="inlineStr">
        <is>
          <t>D07</t>
        </is>
      </c>
      <c r="C28" s="59" t="inlineStr">
        <is>
          <t>MOVE</t>
        </is>
      </c>
      <c r="D28" s="59" t="inlineStr">
        <is>
          <t>ICE</t>
        </is>
      </c>
      <c r="E28" s="59" t="inlineStr">
        <is>
          <t>MOVE</t>
        </is>
      </c>
      <c r="F28" s="59" t="n"/>
      <c r="G28" s="59" t="inlineStr">
        <is>
          <t>Daily</t>
        </is>
      </c>
      <c r="H28" s="59" t="inlineStr">
        <is>
          <t>index</t>
        </is>
      </c>
      <c r="I28" s="59" t="inlineStr">
        <is>
          <t>建议固定单一主源，减少口径切换。</t>
        </is>
      </c>
      <c r="J28" s="59" t="n"/>
    </row>
    <row r="29" ht="14" customHeight="1" s="62">
      <c r="A29" s="59" t="inlineStr">
        <is>
          <t>SPX_DD_3M</t>
        </is>
      </c>
      <c r="B29" s="59" t="inlineStr">
        <is>
          <t>D07</t>
        </is>
      </c>
      <c r="C29" s="59" t="inlineStr">
        <is>
          <t>标普500近3个月最大回撤（%）</t>
        </is>
      </c>
      <c r="D29" s="59" t="inlineStr">
        <is>
          <t>User Calc</t>
        </is>
      </c>
      <c r="E29" s="59" t="inlineStr">
        <is>
          <t>N/A</t>
        </is>
      </c>
      <c r="F29" s="59" t="n"/>
      <c r="G29" s="59" t="inlineStr">
        <is>
          <t>Daily</t>
        </is>
      </c>
      <c r="H29" s="59" t="inlineStr">
        <is>
          <t>%</t>
        </is>
      </c>
      <c r="I29" s="59" t="inlineStr">
        <is>
          <t>建议固定单一主源，减少口径切换。</t>
        </is>
      </c>
      <c r="J29" s="59" t="n"/>
    </row>
    <row r="30" ht="14" customHeight="1" s="62">
      <c r="A30" s="59" t="inlineStr">
        <is>
          <t>DXY</t>
        </is>
      </c>
      <c r="B30" s="59" t="inlineStr">
        <is>
          <t>D08</t>
        </is>
      </c>
      <c r="C30" s="59" t="inlineStr">
        <is>
          <t>美元指数DXY</t>
        </is>
      </c>
      <c r="D30" s="59" t="inlineStr">
        <is>
          <t>ICE/公开行情</t>
        </is>
      </c>
      <c r="E30" s="59" t="inlineStr">
        <is>
          <t>DXY</t>
        </is>
      </c>
      <c r="F30" s="59" t="n"/>
      <c r="G30" s="59" t="inlineStr">
        <is>
          <t>Daily</t>
        </is>
      </c>
      <c r="H30" s="59" t="inlineStr">
        <is>
          <t>index</t>
        </is>
      </c>
      <c r="I30" s="59" t="inlineStr">
        <is>
          <t>建议固定单一主源，减少口径切换。</t>
        </is>
      </c>
      <c r="J30" s="59" t="n"/>
    </row>
    <row r="31" ht="28" customHeight="1" s="62">
      <c r="A31" s="59" t="inlineStr">
        <is>
          <t>US_JP_10Y_SPREAD</t>
        </is>
      </c>
      <c r="B31" s="59" t="inlineStr">
        <is>
          <t>D08</t>
        </is>
      </c>
      <c r="C31" s="59" t="inlineStr">
        <is>
          <t>美日10Y利差（bps）</t>
        </is>
      </c>
      <c r="D31" s="59" t="inlineStr">
        <is>
          <t>FRED/BOJ</t>
        </is>
      </c>
      <c r="E31" s="59" t="inlineStr">
        <is>
          <t>N/A</t>
        </is>
      </c>
      <c r="F31" s="59" t="n"/>
      <c r="G31" s="59" t="inlineStr">
        <is>
          <t>Daily</t>
        </is>
      </c>
      <c r="H31" s="59" t="inlineStr">
        <is>
          <t>bps</t>
        </is>
      </c>
      <c r="I31" s="59" t="inlineStr">
        <is>
          <t>建议固定单一主源，减少口径切换。</t>
        </is>
      </c>
      <c r="J31" s="59" t="n"/>
    </row>
    <row r="32" ht="14" customHeight="1" s="62">
      <c r="A32" s="59" t="inlineStr">
        <is>
          <t>CAPITAL_FLOWS</t>
        </is>
      </c>
      <c r="B32" s="59" t="inlineStr">
        <is>
          <t>D08</t>
        </is>
      </c>
      <c r="C32" s="59" t="inlineStr">
        <is>
          <t>海外净买入美国资产（自定义）</t>
        </is>
      </c>
      <c r="D32" s="59" t="inlineStr">
        <is>
          <t>Treasury TIC/EPFR</t>
        </is>
      </c>
      <c r="E32" s="59" t="inlineStr">
        <is>
          <t>TIC/EPFR</t>
        </is>
      </c>
      <c r="F32" s="59" t="n"/>
      <c r="G32" s="59" t="inlineStr">
        <is>
          <t>Monthly</t>
        </is>
      </c>
      <c r="H32" s="59" t="inlineStr">
        <is>
          <t>$B</t>
        </is>
      </c>
      <c r="I32" s="59" t="inlineStr">
        <is>
          <t>建议固定单一主源，减少口径切换。</t>
        </is>
      </c>
      <c r="J32" s="59" t="n"/>
    </row>
    <row r="33" ht="28" customHeight="1" s="62">
      <c r="A33" s="59" t="inlineStr">
        <is>
          <t>DEFICIT_GDP</t>
        </is>
      </c>
      <c r="B33" s="59" t="inlineStr">
        <is>
          <t>D09</t>
        </is>
      </c>
      <c r="C33" s="59" t="inlineStr">
        <is>
          <t>财政赤字/GDP（%）</t>
        </is>
      </c>
      <c r="D33" s="59" t="inlineStr">
        <is>
          <t>CBO</t>
        </is>
      </c>
      <c r="E33" s="59" t="inlineStr">
        <is>
          <t>CBO baseline</t>
        </is>
      </c>
      <c r="F33" s="59" t="inlineStr">
        <is>
          <t>https://www.cbo.gov/publication/62105</t>
        </is>
      </c>
      <c r="G33" s="59" t="inlineStr">
        <is>
          <t>Annual/Quarterly</t>
        </is>
      </c>
      <c r="H33" s="59" t="inlineStr">
        <is>
          <t>%</t>
        </is>
      </c>
      <c r="I33" s="59" t="inlineStr">
        <is>
          <t>建议固定单一主源，减少口径切换。</t>
        </is>
      </c>
      <c r="J33" s="59" t="n"/>
    </row>
    <row r="34" ht="28" customHeight="1" s="62">
      <c r="A34" s="59" t="inlineStr">
        <is>
          <t>DEBT_GDP</t>
        </is>
      </c>
      <c r="B34" s="59" t="inlineStr">
        <is>
          <t>D09</t>
        </is>
      </c>
      <c r="C34" s="59" t="inlineStr">
        <is>
          <t>债务/GDP（%）</t>
        </is>
      </c>
      <c r="D34" s="59" t="inlineStr">
        <is>
          <t>CBO</t>
        </is>
      </c>
      <c r="E34" s="59" t="inlineStr">
        <is>
          <t>CBO baseline</t>
        </is>
      </c>
      <c r="F34" s="59" t="inlineStr">
        <is>
          <t>https://www.cbo.gov/publication/62105</t>
        </is>
      </c>
      <c r="G34" s="59" t="inlineStr">
        <is>
          <t>Annual</t>
        </is>
      </c>
      <c r="H34" s="59" t="inlineStr">
        <is>
          <t>%</t>
        </is>
      </c>
      <c r="I34" s="59" t="inlineStr">
        <is>
          <t>建议固定单一主源，减少口径切换。</t>
        </is>
      </c>
      <c r="J34" s="59" t="n"/>
    </row>
    <row r="35" ht="14" customHeight="1" s="62">
      <c r="A35" s="59" t="inlineStr">
        <is>
          <t>INT_REV</t>
        </is>
      </c>
      <c r="B35" s="59" t="inlineStr">
        <is>
          <t>D09</t>
        </is>
      </c>
      <c r="C35" s="59" t="inlineStr">
        <is>
          <t>利息支出/财政收入（%）</t>
        </is>
      </c>
      <c r="D35" s="59" t="inlineStr">
        <is>
          <t>Treasury/CBO</t>
        </is>
      </c>
      <c r="E35" s="59" t="inlineStr">
        <is>
          <t>N/A</t>
        </is>
      </c>
      <c r="F35" s="59" t="n"/>
      <c r="G35" s="59" t="inlineStr">
        <is>
          <t>Annual</t>
        </is>
      </c>
      <c r="H35" s="59" t="inlineStr">
        <is>
          <t>%</t>
        </is>
      </c>
      <c r="I35" s="59" t="inlineStr">
        <is>
          <t>建议固定单一主源，减少口径切换。</t>
        </is>
      </c>
      <c r="J35" s="59" t="n"/>
    </row>
    <row r="36" ht="14" customHeight="1" s="62">
      <c r="A36" s="59" t="inlineStr">
        <is>
          <t>FCI</t>
        </is>
      </c>
      <c r="B36" s="59" t="inlineStr">
        <is>
          <t>D10</t>
        </is>
      </c>
      <c r="C36" s="59" t="inlineStr">
        <is>
          <t>金融条件指数（FCI）</t>
        </is>
      </c>
      <c r="D36" s="59" t="inlineStr">
        <is>
          <t>GS/Chicago Fed</t>
        </is>
      </c>
      <c r="E36" s="59" t="inlineStr">
        <is>
          <t>FCI</t>
        </is>
      </c>
      <c r="F36" s="59" t="n"/>
      <c r="G36" s="59" t="inlineStr">
        <is>
          <t>Weekly</t>
        </is>
      </c>
      <c r="H36" s="59" t="inlineStr">
        <is>
          <t>index</t>
        </is>
      </c>
      <c r="I36" s="59" t="inlineStr">
        <is>
          <t>建议固定单一主源，减少口径切换。</t>
        </is>
      </c>
      <c r="J36" s="59" t="n"/>
    </row>
    <row r="37" ht="14" customHeight="1" s="62">
      <c r="A37" s="59" t="inlineStr">
        <is>
          <t>BANK_LENDING</t>
        </is>
      </c>
      <c r="B37" s="59" t="inlineStr">
        <is>
          <t>D10</t>
        </is>
      </c>
      <c r="C37" s="59" t="inlineStr">
        <is>
          <t>银行信贷增速（% YoY）</t>
        </is>
      </c>
      <c r="D37" s="59" t="inlineStr">
        <is>
          <t>Fed H.8</t>
        </is>
      </c>
      <c r="E37" s="59" t="inlineStr">
        <is>
          <t>H.8</t>
        </is>
      </c>
      <c r="F37" s="59" t="n"/>
      <c r="G37" s="59" t="inlineStr">
        <is>
          <t>Weekly/Monthly</t>
        </is>
      </c>
      <c r="H37" s="59" t="inlineStr">
        <is>
          <t>%</t>
        </is>
      </c>
      <c r="I37" s="59" t="inlineStr">
        <is>
          <t>建议固定单一主源，减少口径切换。</t>
        </is>
      </c>
      <c r="J37" s="59" t="n"/>
    </row>
    <row r="38" ht="28" customHeight="1" s="62">
      <c r="A38" s="59" t="inlineStr">
        <is>
          <t>TED_SPREAD</t>
        </is>
      </c>
      <c r="B38" s="59" t="inlineStr">
        <is>
          <t>D10</t>
        </is>
      </c>
      <c r="C38" s="59" t="inlineStr">
        <is>
          <t>TED利差（bps）</t>
        </is>
      </c>
      <c r="D38" s="59" t="inlineStr">
        <is>
          <t>FRED</t>
        </is>
      </c>
      <c r="E38" s="59" t="inlineStr">
        <is>
          <t>TEDRATE</t>
        </is>
      </c>
      <c r="F38" s="59" t="inlineStr">
        <is>
          <t>https://fred.stlouisfed.org/series/TEDRATE</t>
        </is>
      </c>
      <c r="G38" s="59" t="inlineStr">
        <is>
          <t>Daily</t>
        </is>
      </c>
      <c r="H38" s="59" t="inlineStr">
        <is>
          <t>bps</t>
        </is>
      </c>
      <c r="I38" s="59" t="inlineStr">
        <is>
          <t>建议固定单一主源，减少口径切换。</t>
        </is>
      </c>
      <c r="J38" s="59" t="n"/>
    </row>
    <row r="39" ht="14" customHeight="1" s="62">
      <c r="A39" s="59" t="inlineStr">
        <is>
          <t>WTI</t>
        </is>
      </c>
      <c r="B39" s="59" t="inlineStr">
        <is>
          <t>D11</t>
        </is>
      </c>
      <c r="C39" s="59" t="inlineStr">
        <is>
          <t>WTI原油（$/桶）</t>
        </is>
      </c>
      <c r="D39" s="59" t="inlineStr">
        <is>
          <t>NYMEX/公开行情</t>
        </is>
      </c>
      <c r="E39" s="59" t="inlineStr">
        <is>
          <t>WTI</t>
        </is>
      </c>
      <c r="F39" s="59" t="n"/>
      <c r="G39" s="59" t="inlineStr">
        <is>
          <t>Daily</t>
        </is>
      </c>
      <c r="H39" s="59" t="inlineStr">
        <is>
          <t>$/bbl</t>
        </is>
      </c>
      <c r="I39" s="59" t="inlineStr">
        <is>
          <t>建议固定单一主源，减少口径切换。</t>
        </is>
      </c>
      <c r="J39" s="59" t="n"/>
    </row>
    <row r="40" ht="14" customHeight="1" s="62">
      <c r="A40" s="59" t="inlineStr">
        <is>
          <t>CRB</t>
        </is>
      </c>
      <c r="B40" s="59" t="inlineStr">
        <is>
          <t>D11</t>
        </is>
      </c>
      <c r="C40" s="59" t="inlineStr">
        <is>
          <t>大宗商品指数（CRB）同比（%）</t>
        </is>
      </c>
      <c r="D40" s="59" t="inlineStr">
        <is>
          <t>Refinitiv/公开</t>
        </is>
      </c>
      <c r="E40" s="59" t="inlineStr">
        <is>
          <t>CRB</t>
        </is>
      </c>
      <c r="F40" s="59" t="n"/>
      <c r="G40" s="59" t="inlineStr">
        <is>
          <t>Weekly</t>
        </is>
      </c>
      <c r="H40" s="59" t="inlineStr">
        <is>
          <t>%</t>
        </is>
      </c>
      <c r="I40" s="59" t="inlineStr">
        <is>
          <t>建议固定单一主源，减少口径切换。</t>
        </is>
      </c>
      <c r="J40" s="59" t="n"/>
    </row>
    <row r="41" ht="28" customHeight="1" s="62">
      <c r="A41" s="59" t="inlineStr">
        <is>
          <t>GPR</t>
        </is>
      </c>
      <c r="B41" s="59" t="inlineStr">
        <is>
          <t>D11</t>
        </is>
      </c>
      <c r="C41" s="59" t="inlineStr">
        <is>
          <t>地缘政治风险指数（GPR）</t>
        </is>
      </c>
      <c r="D41" s="59" t="inlineStr">
        <is>
          <t>Caldara &amp; Iacoviello</t>
        </is>
      </c>
      <c r="E41" s="59" t="inlineStr">
        <is>
          <t>GPR</t>
        </is>
      </c>
      <c r="F41" s="59" t="inlineStr">
        <is>
          <t>官方站点 / FRED / PolicyUncertainty</t>
        </is>
      </c>
      <c r="G41" s="59" t="inlineStr">
        <is>
          <t>Monthly</t>
        </is>
      </c>
      <c r="H41" s="59" t="inlineStr">
        <is>
          <t>index</t>
        </is>
      </c>
      <c r="I41" s="59" t="inlineStr">
        <is>
          <t>若无稳定自动抓取，可改为月度手工更新。</t>
        </is>
      </c>
      <c r="J41" s="59" t="n"/>
    </row>
    <row r="42" ht="28" customHeight="1" s="62">
      <c r="A42" s="59" t="inlineStr">
        <is>
          <t>CB_CONS_CONF</t>
        </is>
      </c>
      <c r="B42" s="59" t="inlineStr">
        <is>
          <t>D12</t>
        </is>
      </c>
      <c r="C42" s="59" t="inlineStr">
        <is>
          <t>消费者信心指数</t>
        </is>
      </c>
      <c r="D42" s="59" t="inlineStr">
        <is>
          <t>Conference Board</t>
        </is>
      </c>
      <c r="E42" s="59" t="inlineStr">
        <is>
          <t>Consumer Confidence</t>
        </is>
      </c>
      <c r="F42" s="59" t="inlineStr">
        <is>
          <t>https://www.conference-board.org/</t>
        </is>
      </c>
      <c r="G42" s="59" t="inlineStr">
        <is>
          <t>Monthly</t>
        </is>
      </c>
      <c r="H42" s="59" t="inlineStr">
        <is>
          <t>index</t>
        </is>
      </c>
      <c r="I42" s="59" t="inlineStr">
        <is>
          <t>建议固定单一主源，减少口径切换。</t>
        </is>
      </c>
      <c r="J42" s="59" t="n"/>
    </row>
    <row r="43" ht="28" customHeight="1" s="62">
      <c r="A43" s="59" t="inlineStr">
        <is>
          <t>CEO_CONF</t>
        </is>
      </c>
      <c r="B43" s="59" t="inlineStr">
        <is>
          <t>D12</t>
        </is>
      </c>
      <c r="C43" s="59" t="inlineStr">
        <is>
          <t>CEO Confidence</t>
        </is>
      </c>
      <c r="D43" s="59" t="inlineStr">
        <is>
          <t>Conference Board</t>
        </is>
      </c>
      <c r="E43" s="59" t="inlineStr">
        <is>
          <t>CEO Confidence</t>
        </is>
      </c>
      <c r="F43" s="59" t="inlineStr">
        <is>
          <t>S&amp;P Global / Conference Board</t>
        </is>
      </c>
      <c r="G43" s="59" t="inlineStr">
        <is>
          <t>Quarterly</t>
        </is>
      </c>
      <c r="H43" s="59" t="inlineStr">
        <is>
          <t>index</t>
        </is>
      </c>
      <c r="I43" s="59" t="inlineStr">
        <is>
          <t>软数据易波动，建议用3M均值。</t>
        </is>
      </c>
      <c r="J43" s="59" t="n"/>
    </row>
    <row r="44" ht="28" customHeight="1" s="62">
      <c r="A44" s="59" t="inlineStr">
        <is>
          <t>EPU</t>
        </is>
      </c>
      <c r="B44" s="59" t="inlineStr">
        <is>
          <t>D12</t>
        </is>
      </c>
      <c r="C44" s="59" t="inlineStr">
        <is>
          <t>经济政策不确定性（EPU）</t>
        </is>
      </c>
      <c r="D44" s="59" t="inlineStr">
        <is>
          <t>policyuncertainty.com</t>
        </is>
      </c>
      <c r="E44" s="59" t="inlineStr">
        <is>
          <t>EPU</t>
        </is>
      </c>
      <c r="F44" s="59" t="inlineStr">
        <is>
          <t>官方站点 / FRED / PolicyUncertainty</t>
        </is>
      </c>
      <c r="G44" s="59" t="inlineStr">
        <is>
          <t>Monthly</t>
        </is>
      </c>
      <c r="H44" s="59" t="inlineStr">
        <is>
          <t>index</t>
        </is>
      </c>
      <c r="I44" s="59" t="inlineStr">
        <is>
          <t>若无稳定自动抓取，可改为月度手工更新。</t>
        </is>
      </c>
      <c r="J44" s="59" t="n"/>
    </row>
    <row r="45" ht="28" customHeight="1" s="62">
      <c r="A45" s="59" t="inlineStr">
        <is>
          <t>CLOUD_AI_GROWTH</t>
        </is>
      </c>
      <c r="B45" s="59" t="inlineStr">
        <is>
          <t>D13</t>
        </is>
      </c>
      <c r="C45" s="59" t="inlineStr">
        <is>
          <t>云业务增速（加权，% YoY）</t>
        </is>
      </c>
      <c r="D45" s="59" t="inlineStr">
        <is>
          <t>财报/主流媒体</t>
        </is>
      </c>
      <c r="E45" s="59" t="inlineStr">
        <is>
          <t>AWS/Azure growth</t>
        </is>
      </c>
      <c r="F45" s="59" t="inlineStr">
        <is>
          <t>https://www.reuters.com/</t>
        </is>
      </c>
      <c r="G45" s="59" t="inlineStr">
        <is>
          <t>Quarterly</t>
        </is>
      </c>
      <c r="H45" s="59" t="inlineStr">
        <is>
          <t>%</t>
        </is>
      </c>
      <c r="I45" s="59" t="inlineStr">
        <is>
          <t>建议固定单一主源，减少口径切换。</t>
        </is>
      </c>
      <c r="J45" s="59" t="n"/>
    </row>
    <row r="46" ht="14" customHeight="1" s="62">
      <c r="A46" s="59" t="inlineStr">
        <is>
          <t>AI_CAPEX_GUIDE</t>
        </is>
      </c>
      <c r="B46" s="59" t="inlineStr">
        <is>
          <t>D13</t>
        </is>
      </c>
      <c r="C46" s="59" t="inlineStr">
        <is>
          <t>AI相关Capex指引（自定义）</t>
        </is>
      </c>
      <c r="D46" s="59" t="inlineStr">
        <is>
          <t>财报</t>
        </is>
      </c>
      <c r="E46" s="59" t="inlineStr">
        <is>
          <t>N/A</t>
        </is>
      </c>
      <c r="F46" s="59" t="n"/>
      <c r="G46" s="59" t="inlineStr">
        <is>
          <t>Quarterly</t>
        </is>
      </c>
      <c r="H46" s="59" t="inlineStr">
        <is>
          <t>index</t>
        </is>
      </c>
      <c r="I46" s="59" t="inlineStr">
        <is>
          <t>建议固定单一主源，减少口径切换。</t>
        </is>
      </c>
      <c r="J46" s="59" t="n"/>
    </row>
    <row r="47" ht="14" customHeight="1" s="62">
      <c r="A47" s="59" t="inlineStr">
        <is>
          <t>SEMI_BOOK_BILL</t>
        </is>
      </c>
      <c r="B47" s="59" t="inlineStr">
        <is>
          <t>D13</t>
        </is>
      </c>
      <c r="C47" s="59" t="inlineStr">
        <is>
          <t>半导体景气代理（Book-to-Bill）</t>
        </is>
      </c>
      <c r="D47" s="59" t="inlineStr">
        <is>
          <t>SIA/SEMI</t>
        </is>
      </c>
      <c r="E47" s="59" t="inlineStr">
        <is>
          <t>N/A</t>
        </is>
      </c>
      <c r="F47" s="59" t="n"/>
      <c r="G47" s="59" t="inlineStr">
        <is>
          <t>Monthly</t>
        </is>
      </c>
      <c r="H47" s="59" t="inlineStr">
        <is>
          <t>ratio</t>
        </is>
      </c>
      <c r="I47" s="59" t="inlineStr">
        <is>
          <t>建议固定单一主源，减少口径切换。</t>
        </is>
      </c>
      <c r="J47" s="59" t="n"/>
    </row>
    <row r="48" ht="28" customHeight="1" s="62">
      <c r="A48" s="59" t="inlineStr">
        <is>
          <t>BTC</t>
        </is>
      </c>
      <c r="B48" s="59" t="inlineStr">
        <is>
          <t>D14</t>
        </is>
      </c>
      <c r="C48" s="59" t="inlineStr">
        <is>
          <t>BTC价格（$）</t>
        </is>
      </c>
      <c r="D48" s="59" t="inlineStr">
        <is>
          <t>CoinMarketCap</t>
        </is>
      </c>
      <c r="E48" s="59" t="inlineStr">
        <is>
          <t>BTC</t>
        </is>
      </c>
      <c r="F48" s="59" t="inlineStr">
        <is>
          <t>CoinMarketCap / DefiLlama</t>
        </is>
      </c>
      <c r="G48" s="59" t="inlineStr">
        <is>
          <t>Daily</t>
        </is>
      </c>
      <c r="H48" s="59" t="inlineStr">
        <is>
          <t>$</t>
        </is>
      </c>
      <c r="I48" s="59" t="inlineStr">
        <is>
          <t>建议固定同一数据源，避免不同口径跳变。</t>
        </is>
      </c>
      <c r="J48" s="59" t="n"/>
    </row>
    <row r="49" ht="28" customHeight="1" s="62">
      <c r="A49" s="59" t="inlineStr">
        <is>
          <t>USDC_MCAP</t>
        </is>
      </c>
      <c r="B49" s="59" t="inlineStr">
        <is>
          <t>D14</t>
        </is>
      </c>
      <c r="C49" s="59" t="inlineStr">
        <is>
          <t>USDC市值（$B）</t>
        </is>
      </c>
      <c r="D49" s="59" t="inlineStr">
        <is>
          <t>CoinMarketCap</t>
        </is>
      </c>
      <c r="E49" s="59" t="inlineStr">
        <is>
          <t>USDC</t>
        </is>
      </c>
      <c r="F49" s="59" t="inlineStr">
        <is>
          <t>CoinMarketCap / DefiLlama</t>
        </is>
      </c>
      <c r="G49" s="59" t="inlineStr">
        <is>
          <t>Daily</t>
        </is>
      </c>
      <c r="H49" s="59" t="inlineStr">
        <is>
          <t>$B</t>
        </is>
      </c>
      <c r="I49" s="59" t="inlineStr">
        <is>
          <t>建议固定同一数据源，避免不同口径跳变。</t>
        </is>
      </c>
      <c r="J49" s="59" t="n"/>
    </row>
    <row r="50" ht="28" customHeight="1" s="62">
      <c r="A50" s="59" t="inlineStr">
        <is>
          <t>STABLECOIN_DOM</t>
        </is>
      </c>
      <c r="B50" s="59" t="inlineStr">
        <is>
          <t>D14</t>
        </is>
      </c>
      <c r="C50" s="59" t="inlineStr">
        <is>
          <t>稳定币总市值（$B）</t>
        </is>
      </c>
      <c r="D50" s="59" t="inlineStr">
        <is>
          <t>CoinMarketCap</t>
        </is>
      </c>
      <c r="E50" s="59" t="inlineStr">
        <is>
          <t>Stablecoins</t>
        </is>
      </c>
      <c r="F50" s="59" t="inlineStr">
        <is>
          <t>https://coinmarketcap.com/view/stablecoin/</t>
        </is>
      </c>
      <c r="G50" s="59" t="inlineStr">
        <is>
          <t>Daily</t>
        </is>
      </c>
      <c r="H50" s="59" t="inlineStr">
        <is>
          <t>$B</t>
        </is>
      </c>
      <c r="I50" s="59" t="inlineStr">
        <is>
          <t>建议固定单一主源，减少口径切换。</t>
        </is>
      </c>
      <c r="J50" s="59" t="n"/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10" defaultColWidth="8.83203125" defaultRowHeight="13"/>
  <cols>
    <col width="18" customWidth="1" style="62" min="1" max="1"/>
    <col width="22" customWidth="1" style="62" min="2" max="2"/>
    <col width="26" customWidth="1" style="62" min="3" max="4"/>
    <col width="14" customWidth="1" style="62" min="5" max="5"/>
    <col width="12" customWidth="1" style="62" min="6" max="6"/>
    <col width="10" customWidth="1" style="62" min="7" max="7"/>
    <col width="24" customWidth="1" style="62" min="8" max="8"/>
  </cols>
  <sheetData>
    <row r="1" ht="24" customHeight="1" s="62">
      <c r="A1" s="80" t="inlineStr">
        <is>
          <t>常用数据源代码映射</t>
        </is>
      </c>
      <c r="B1" s="66" t="n"/>
      <c r="C1" s="66" t="n"/>
      <c r="D1" s="66" t="n"/>
      <c r="E1" s="66" t="n"/>
      <c r="F1" s="66" t="n"/>
      <c r="G1" s="66" t="n"/>
      <c r="H1" s="66" t="n"/>
    </row>
    <row r="3" ht="14" customHeight="1" s="62">
      <c r="A3" s="53" t="inlineStr">
        <is>
          <t>Source</t>
        </is>
      </c>
      <c r="B3" s="53" t="inlineStr">
        <is>
          <t>典型指标</t>
        </is>
      </c>
      <c r="C3" s="53" t="inlineStr">
        <is>
          <t>建议代码/端点</t>
        </is>
      </c>
      <c r="D3" s="53" t="inlineStr">
        <is>
          <t>官网/入口</t>
        </is>
      </c>
      <c r="E3" s="53" t="inlineStr">
        <is>
          <t>更新时间</t>
        </is>
      </c>
      <c r="F3" s="53" t="inlineStr">
        <is>
          <t>单位规范</t>
        </is>
      </c>
      <c r="G3" s="53" t="inlineStr">
        <is>
          <t>优先级</t>
        </is>
      </c>
      <c r="H3" s="53" t="inlineStr">
        <is>
          <t>说明</t>
        </is>
      </c>
    </row>
    <row r="4" ht="42" customHeight="1" s="62">
      <c r="A4" s="59" t="inlineStr">
        <is>
          <t>FRED</t>
        </is>
      </c>
      <c r="B4" s="59" t="inlineStr">
        <is>
          <t>利率、曲线、Fed资产、失业率、信用利差</t>
        </is>
      </c>
      <c r="C4" s="59" t="inlineStr">
        <is>
          <t>DGS10 / DGS3MO / SOFR / WALCL / UNRATE / BAMLH0A0HYM2</t>
        </is>
      </c>
      <c r="D4" s="59" t="inlineStr">
        <is>
          <t>https://fred.stlouisfed.org/</t>
        </is>
      </c>
      <c r="E4" s="59" t="inlineStr">
        <is>
          <t>Daily/Weekly/Monthly</t>
        </is>
      </c>
      <c r="F4" s="59" t="inlineStr">
        <is>
          <t>% / bps / $bn</t>
        </is>
      </c>
      <c r="G4" s="59" t="inlineStr">
        <is>
          <t>高</t>
        </is>
      </c>
      <c r="H4" s="59" t="inlineStr">
        <is>
          <t>宏观主源，最适合做机构版周更</t>
        </is>
      </c>
    </row>
    <row r="5" ht="28" customHeight="1" s="62">
      <c r="A5" s="59" t="inlineStr">
        <is>
          <t>BEA</t>
        </is>
      </c>
      <c r="B5" s="59" t="inlineStr">
        <is>
          <t>GDP、PCE、可支配收入</t>
        </is>
      </c>
      <c r="C5" s="59" t="inlineStr">
        <is>
          <t>NIPA Tables / GDP / PCEPI</t>
        </is>
      </c>
      <c r="D5" s="59" t="inlineStr">
        <is>
          <t>https://www.bea.gov/</t>
        </is>
      </c>
      <c r="E5" s="59" t="inlineStr">
        <is>
          <t>Quarterly/Monthly</t>
        </is>
      </c>
      <c r="F5" s="59" t="inlineStr">
        <is>
          <t>% / $bn</t>
        </is>
      </c>
      <c r="G5" s="59" t="inlineStr">
        <is>
          <t>高</t>
        </is>
      </c>
      <c r="H5" s="59" t="inlineStr">
        <is>
          <t>增长与收入类优先官方</t>
        </is>
      </c>
    </row>
    <row r="6" ht="14" customHeight="1" s="62">
      <c r="A6" s="59" t="inlineStr">
        <is>
          <t>BLS</t>
        </is>
      </c>
      <c r="B6" s="59" t="inlineStr">
        <is>
          <t>CPI、工资、就业</t>
        </is>
      </c>
      <c r="C6" s="59" t="inlineStr">
        <is>
          <t>CUSR... / CES...</t>
        </is>
      </c>
      <c r="D6" s="59" t="inlineStr">
        <is>
          <t>https://www.bls.gov/</t>
        </is>
      </c>
      <c r="E6" s="59" t="inlineStr">
        <is>
          <t>Monthly</t>
        </is>
      </c>
      <c r="F6" s="59" t="inlineStr">
        <is>
          <t>% / index / k</t>
        </is>
      </c>
      <c r="G6" s="59" t="inlineStr">
        <is>
          <t>高</t>
        </is>
      </c>
      <c r="H6" s="59" t="inlineStr">
        <is>
          <t>通胀与就业官方源</t>
        </is>
      </c>
    </row>
    <row r="7" ht="28" customHeight="1" s="62">
      <c r="A7" s="59" t="inlineStr">
        <is>
          <t>Treasury</t>
        </is>
      </c>
      <c r="B7" s="59" t="inlineStr">
        <is>
          <t>TGA、财政收支、债务</t>
        </is>
      </c>
      <c r="C7" s="59" t="inlineStr">
        <is>
          <t>Daily Treasury Statement / Debt to the Penny</t>
        </is>
      </c>
      <c r="D7" s="59" t="inlineStr">
        <is>
          <t>https://fiscaldata.treasury.gov/</t>
        </is>
      </c>
      <c r="E7" s="59" t="inlineStr">
        <is>
          <t>Daily/Monthly</t>
        </is>
      </c>
      <c r="F7" s="59" t="inlineStr">
        <is>
          <t>$bn / %GDP</t>
        </is>
      </c>
      <c r="G7" s="59" t="inlineStr">
        <is>
          <t>高</t>
        </is>
      </c>
      <c r="H7" s="59" t="inlineStr">
        <is>
          <t>财政与流动性必备</t>
        </is>
      </c>
    </row>
    <row r="8" ht="14" customHeight="1" s="62">
      <c r="A8" s="59" t="inlineStr">
        <is>
          <t>NY Fed</t>
        </is>
      </c>
      <c r="B8" s="59" t="inlineStr">
        <is>
          <t>SOFR、RRP、调查预期</t>
        </is>
      </c>
      <c r="C8" s="59" t="inlineStr">
        <is>
          <t>SOFR / ON RRP</t>
        </is>
      </c>
      <c r="D8" s="59" t="inlineStr">
        <is>
          <t>https://www.newyorkfed.org/</t>
        </is>
      </c>
      <c r="E8" s="59" t="inlineStr">
        <is>
          <t>Daily</t>
        </is>
      </c>
      <c r="F8" s="59" t="inlineStr">
        <is>
          <t>% / $bn</t>
        </is>
      </c>
      <c r="G8" s="59" t="inlineStr">
        <is>
          <t>高</t>
        </is>
      </c>
      <c r="H8" s="59" t="inlineStr">
        <is>
          <t>货币市场主源</t>
        </is>
      </c>
    </row>
    <row r="9" ht="28" customHeight="1" s="62">
      <c r="A9" s="59" t="inlineStr">
        <is>
          <t>Freddie Mac</t>
        </is>
      </c>
      <c r="B9" s="59" t="inlineStr">
        <is>
          <t>30Y Mortgage Rate</t>
        </is>
      </c>
      <c r="C9" s="59" t="inlineStr">
        <is>
          <t>PMMS</t>
        </is>
      </c>
      <c r="D9" s="59" t="inlineStr">
        <is>
          <t>https://www.freddiemac.com/pmms</t>
        </is>
      </c>
      <c r="E9" s="59" t="inlineStr">
        <is>
          <t>Weekly</t>
        </is>
      </c>
      <c r="F9" s="59" t="inlineStr">
        <is>
          <t>%</t>
        </is>
      </c>
      <c r="G9" s="59" t="inlineStr">
        <is>
          <t>高</t>
        </is>
      </c>
      <c r="H9" s="59" t="inlineStr">
        <is>
          <t>地产融资成本</t>
        </is>
      </c>
    </row>
    <row r="10" ht="14" customHeight="1" s="62">
      <c r="A10" s="59" t="inlineStr">
        <is>
          <t>NAR / Census</t>
        </is>
      </c>
      <c r="B10" s="59" t="inlineStr">
        <is>
          <t>成屋销售、新屋开工</t>
        </is>
      </c>
      <c r="C10" s="59" t="inlineStr">
        <is>
          <t>Existing Home Sales / HOUST</t>
        </is>
      </c>
      <c r="D10" s="59" t="inlineStr">
        <is>
          <t>https://www.nar.realtor/</t>
        </is>
      </c>
      <c r="E10" s="59" t="inlineStr">
        <is>
          <t>Monthly</t>
        </is>
      </c>
      <c r="F10" s="59" t="inlineStr">
        <is>
          <t>mn saar</t>
        </is>
      </c>
      <c r="G10" s="59" t="inlineStr">
        <is>
          <t>中</t>
        </is>
      </c>
      <c r="H10" s="59" t="inlineStr">
        <is>
          <t>地产景气</t>
        </is>
      </c>
    </row>
    <row r="11" ht="14" customHeight="1" s="62">
      <c r="A11" s="59" t="inlineStr">
        <is>
          <t>FactSet / Bloomberg</t>
        </is>
      </c>
      <c r="B11" s="59" t="inlineStr">
        <is>
          <t>Forward P/E、EPS修正</t>
        </is>
      </c>
      <c r="C11" s="59" t="inlineStr">
        <is>
          <t>Custom field</t>
        </is>
      </c>
      <c r="D11" s="59" t="inlineStr">
        <is>
          <t>终端/订阅</t>
        </is>
      </c>
      <c r="E11" s="59" t="inlineStr">
        <is>
          <t>Daily/Weekly</t>
        </is>
      </c>
      <c r="F11" s="59" t="inlineStr">
        <is>
          <t>x / %</t>
        </is>
      </c>
      <c r="G11" s="59" t="inlineStr">
        <is>
          <t>高</t>
        </is>
      </c>
      <c r="H11" s="59" t="inlineStr">
        <is>
          <t>企业估值与盈利</t>
        </is>
      </c>
    </row>
    <row r="12" ht="14" customHeight="1" s="62">
      <c r="A12" s="59" t="inlineStr">
        <is>
          <t>ICE / CBOE</t>
        </is>
      </c>
      <c r="B12" s="59" t="inlineStr">
        <is>
          <t>DXY / MOVE / VIX</t>
        </is>
      </c>
      <c r="C12" s="59" t="inlineStr">
        <is>
          <t>DXY / MOVE / VIX</t>
        </is>
      </c>
      <c r="D12" s="59" t="inlineStr">
        <is>
          <t>官网/终端</t>
        </is>
      </c>
      <c r="E12" s="59" t="inlineStr">
        <is>
          <t>Daily</t>
        </is>
      </c>
      <c r="F12" s="59" t="inlineStr">
        <is>
          <t>index</t>
        </is>
      </c>
      <c r="G12" s="59" t="inlineStr">
        <is>
          <t>中</t>
        </is>
      </c>
      <c r="H12" s="59" t="inlineStr">
        <is>
          <t>市场状态</t>
        </is>
      </c>
    </row>
    <row r="13" ht="28" customHeight="1" s="62">
      <c r="A13" s="59" t="inlineStr">
        <is>
          <t>Conference Board / NFIB</t>
        </is>
      </c>
      <c r="B13" s="59" t="inlineStr">
        <is>
          <t>消费者/CEO/小企业信心</t>
        </is>
      </c>
      <c r="C13" s="59" t="inlineStr">
        <is>
          <t>CCI / CEO Confidence / NFIB</t>
        </is>
      </c>
      <c r="D13" s="59" t="inlineStr">
        <is>
          <t>官网</t>
        </is>
      </c>
      <c r="E13" s="59" t="inlineStr">
        <is>
          <t>Monthly/Quarterly</t>
        </is>
      </c>
      <c r="F13" s="59" t="inlineStr">
        <is>
          <t>index</t>
        </is>
      </c>
      <c r="G13" s="59" t="inlineStr">
        <is>
          <t>中</t>
        </is>
      </c>
      <c r="H13" s="59" t="inlineStr">
        <is>
          <t>软数据</t>
        </is>
      </c>
    </row>
    <row r="14" ht="28" customHeight="1" s="62">
      <c r="A14" s="59" t="inlineStr">
        <is>
          <t>CoinMarketCap / DefiLlama</t>
        </is>
      </c>
      <c r="B14" s="59" t="inlineStr">
        <is>
          <t>BTC / USDC / stablecoin</t>
        </is>
      </c>
      <c r="C14" s="59" t="inlineStr">
        <is>
          <t>asset endpoint</t>
        </is>
      </c>
      <c r="D14" s="59" t="inlineStr">
        <is>
          <t>官网/API</t>
        </is>
      </c>
      <c r="E14" s="59" t="inlineStr">
        <is>
          <t>Daily</t>
        </is>
      </c>
      <c r="F14" s="59" t="inlineStr">
        <is>
          <t>$ / $bn</t>
        </is>
      </c>
      <c r="G14" s="59" t="inlineStr">
        <is>
          <t>低</t>
        </is>
      </c>
      <c r="H14" s="59" t="inlineStr">
        <is>
          <t>主题面板，不宜高权重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5B9BD5"/>
    <outlinePr summaryBelow="1" summaryRight="1"/>
    <pageSetUpPr/>
  </sheetPr>
  <dimension ref="A1:H24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10" customWidth="1" style="62" min="1" max="1"/>
    <col width="24" customWidth="1" style="62" min="2" max="2"/>
    <col width="18" customWidth="1" style="62" min="3" max="3"/>
    <col width="10" customWidth="1" style="62" min="4" max="4"/>
    <col width="42" customWidth="1" style="62" min="5" max="5"/>
    <col width="10" customWidth="1" style="62" min="6" max="6"/>
    <col width="16" customWidth="1" style="62" min="7" max="7"/>
    <col width="38" customWidth="1" style="62" min="8" max="8"/>
  </cols>
  <sheetData>
    <row r="1" ht="27.75" customHeight="1" s="62">
      <c r="A1" s="77" t="inlineStr">
        <is>
          <t>宏观经济监控模型（最终版14维）｜样例数据版</t>
        </is>
      </c>
    </row>
    <row r="2" ht="21.75" customHeight="1" s="62">
      <c r="A2" s="76" t="inlineStr">
        <is>
          <t>用途：机构级宏观监控 / 投资决策 / 月度或周度复盘。原则：只将可验证、可持续抓取、可历史回溯的指标纳入总分。</t>
        </is>
      </c>
    </row>
    <row r="3" ht="21.75" customHeight="1" s="62"/>
    <row r="4" ht="21.75" customHeight="1" s="62">
      <c r="A4" s="10" t="inlineStr">
        <is>
          <t>维度ID</t>
        </is>
      </c>
      <c r="B4" s="10" t="inlineStr">
        <is>
          <t>维度名称</t>
        </is>
      </c>
      <c r="C4" s="10" t="inlineStr">
        <is>
          <t>层级</t>
        </is>
      </c>
      <c r="D4" s="10" t="inlineStr">
        <is>
          <t>权重</t>
        </is>
      </c>
      <c r="E4" s="10" t="inlineStr">
        <is>
          <t>核心监控指标（建议）</t>
        </is>
      </c>
      <c r="F4" s="10" t="inlineStr">
        <is>
          <t>更新频率</t>
        </is>
      </c>
      <c r="G4" s="10" t="inlineStr">
        <is>
          <t>评分方式</t>
        </is>
      </c>
      <c r="H4" s="10" t="inlineStr">
        <is>
          <t>备注</t>
        </is>
      </c>
    </row>
    <row r="5" ht="21.75" customHeight="1" s="62">
      <c r="A5" s="11" t="inlineStr">
        <is>
          <t>D01</t>
        </is>
      </c>
      <c r="B5" s="12" t="inlineStr">
        <is>
          <t>货币政策与流动性</t>
        </is>
      </c>
      <c r="C5" s="11" t="inlineStr">
        <is>
          <t>Core Macro</t>
        </is>
      </c>
      <c r="D5" s="11" t="inlineStr">
        <is>
          <t>12%</t>
        </is>
      </c>
      <c r="E5" s="11" t="inlineStr">
        <is>
          <t>10Y-3M利差；SOFR/EFFR；美联储总资产；净流动性代理（Fed-TGA-RRP）</t>
        </is>
      </c>
      <c r="F5" s="12" t="inlineStr">
        <is>
          <t>日/周</t>
        </is>
      </c>
      <c r="G5" s="12" t="inlineStr">
        <is>
          <t>线性+截尾</t>
        </is>
      </c>
      <c r="H5" s="12" t="inlineStr">
        <is>
          <t>建议重点跟踪净流动性而非单独看TGA</t>
        </is>
      </c>
    </row>
    <row r="6" ht="21.75" customHeight="1" s="62">
      <c r="A6" s="73" t="inlineStr">
        <is>
          <t>D02</t>
        </is>
      </c>
      <c r="B6" s="14" t="inlineStr">
        <is>
          <t>增长与前瞻</t>
        </is>
      </c>
      <c r="C6" s="73" t="inlineStr">
        <is>
          <t>Core Macro</t>
        </is>
      </c>
      <c r="D6" s="73" t="inlineStr">
        <is>
          <t>11%</t>
        </is>
      </c>
      <c r="E6" s="14" t="inlineStr">
        <is>
          <t>实际GDP环比折年；制造业PMI；初请失业金4周均值；LEI同比</t>
        </is>
      </c>
      <c r="F6" s="14" t="inlineStr">
        <is>
          <t>周/月/季</t>
        </is>
      </c>
      <c r="G6" s="14" t="inlineStr">
        <is>
          <t>区间最优+线性</t>
        </is>
      </c>
      <c r="H6" s="14" t="inlineStr">
        <is>
          <t>前瞻指标权重应高于滞后指标</t>
        </is>
      </c>
    </row>
    <row r="7" ht="21.75" customHeight="1" s="62">
      <c r="A7" s="15" t="inlineStr">
        <is>
          <t>D03</t>
        </is>
      </c>
      <c r="B7" s="75" t="inlineStr">
        <is>
          <t>通胀与价格压力</t>
        </is>
      </c>
      <c r="C7" s="15" t="inlineStr">
        <is>
          <t>Core Macro</t>
        </is>
      </c>
      <c r="D7" s="15" t="inlineStr">
        <is>
          <t>10%</t>
        </is>
      </c>
      <c r="E7" s="75" t="inlineStr">
        <is>
          <t>核心CPI；核心PCE；5Y5Y通胀预期</t>
        </is>
      </c>
      <c r="F7" s="75" t="inlineStr">
        <is>
          <t>月</t>
        </is>
      </c>
      <c r="G7" s="75" t="inlineStr">
        <is>
          <t>区间最优</t>
        </is>
      </c>
      <c r="H7" s="75" t="inlineStr">
        <is>
          <t>建议将2%~2.5%设为较优区间</t>
        </is>
      </c>
    </row>
    <row r="8" ht="21.75" customHeight="1" s="62">
      <c r="A8" s="73" t="inlineStr">
        <is>
          <t>D04</t>
        </is>
      </c>
      <c r="B8" s="14" t="inlineStr">
        <is>
          <t>就业与居民部门</t>
        </is>
      </c>
      <c r="C8" s="73" t="inlineStr">
        <is>
          <t>Core Macro</t>
        </is>
      </c>
      <c r="D8" s="73" t="inlineStr">
        <is>
          <t>10%</t>
        </is>
      </c>
      <c r="E8" s="14" t="inlineStr">
        <is>
          <t>失业率；工资增速；信用卡拖欠率；实际可支配收入同比</t>
        </is>
      </c>
      <c r="F8" s="14" t="inlineStr">
        <is>
          <t>月/季</t>
        </is>
      </c>
      <c r="G8" s="14" t="inlineStr">
        <is>
          <t>线性+区间</t>
        </is>
      </c>
      <c r="H8" s="14" t="inlineStr">
        <is>
          <t>兼顾就业强弱与居民资产负债表压力</t>
        </is>
      </c>
    </row>
    <row r="9" ht="21.75" customHeight="1" s="62">
      <c r="A9" s="15" t="inlineStr">
        <is>
          <t>D05</t>
        </is>
      </c>
      <c r="B9" s="75" t="inlineStr">
        <is>
          <t>企业盈利与信用</t>
        </is>
      </c>
      <c r="C9" s="15" t="inlineStr">
        <is>
          <t>Core Macro</t>
        </is>
      </c>
      <c r="D9" s="15" t="inlineStr">
        <is>
          <t>8%</t>
        </is>
      </c>
      <c r="E9" s="75" t="inlineStr">
        <is>
          <t>标普500 Forward P/E；EPS修正广度；HY OAS</t>
        </is>
      </c>
      <c r="F9" s="75" t="inlineStr">
        <is>
          <t>日/周/月</t>
        </is>
      </c>
      <c r="G9" s="75" t="inlineStr">
        <is>
          <t>线性+区间</t>
        </is>
      </c>
      <c r="H9" s="75" t="inlineStr">
        <is>
          <t>删除难以稳定复现的主观ERP假设</t>
        </is>
      </c>
    </row>
    <row r="10" ht="21.75" customHeight="1" s="62">
      <c r="A10" s="73" t="inlineStr">
        <is>
          <t>D06</t>
        </is>
      </c>
      <c r="B10" s="14" t="inlineStr">
        <is>
          <t>房地产与利率敏感部门</t>
        </is>
      </c>
      <c r="C10" s="73" t="inlineStr">
        <is>
          <t>Core Macro</t>
        </is>
      </c>
      <c r="D10" s="73" t="inlineStr">
        <is>
          <t>6%</t>
        </is>
      </c>
      <c r="E10" s="73" t="inlineStr">
        <is>
          <t>30年按揭利率；成屋销售；新屋开工</t>
        </is>
      </c>
      <c r="F10" s="14" t="inlineStr">
        <is>
          <t>周/月</t>
        </is>
      </c>
      <c r="G10" s="14" t="inlineStr">
        <is>
          <t>线性+区间</t>
        </is>
      </c>
      <c r="H10" s="14" t="inlineStr">
        <is>
          <t>同时看融资成本、交易量和供给</t>
        </is>
      </c>
    </row>
    <row r="11" ht="21.75" customHeight="1" s="62">
      <c r="A11" s="15" t="inlineStr">
        <is>
          <t>D07</t>
        </is>
      </c>
      <c r="B11" s="75" t="inlineStr">
        <is>
          <t>风险偏好与跨资产波动</t>
        </is>
      </c>
      <c r="C11" s="15" t="inlineStr">
        <is>
          <t>Market Mapping</t>
        </is>
      </c>
      <c r="D11" s="15" t="inlineStr">
        <is>
          <t>6%</t>
        </is>
      </c>
      <c r="E11" s="15" t="inlineStr">
        <is>
          <t>VIX；MOVE；3个月最大回撤</t>
        </is>
      </c>
      <c r="F11" s="75" t="inlineStr">
        <is>
          <t>日/周</t>
        </is>
      </c>
      <c r="G11" s="15" t="inlineStr">
        <is>
          <t>LowerBetter</t>
        </is>
      </c>
      <c r="H11" s="75" t="inlineStr">
        <is>
          <t>适合作为市场映射维度</t>
        </is>
      </c>
    </row>
    <row r="12" ht="21.75" customHeight="1" s="62">
      <c r="A12" s="73" t="inlineStr">
        <is>
          <t>D08</t>
        </is>
      </c>
      <c r="B12" s="14" t="inlineStr">
        <is>
          <t>外部部门与美元条件</t>
        </is>
      </c>
      <c r="C12" s="73" t="inlineStr">
        <is>
          <t>Policy/External</t>
        </is>
      </c>
      <c r="D12" s="73" t="inlineStr">
        <is>
          <t>7%</t>
        </is>
      </c>
      <c r="E12" s="73" t="inlineStr">
        <is>
          <t>DXY/REER；美日利差；海外净买入美国资产</t>
        </is>
      </c>
      <c r="F12" s="14" t="inlineStr">
        <is>
          <t>周/月</t>
        </is>
      </c>
      <c r="G12" s="14" t="inlineStr">
        <is>
          <t>区间最优</t>
        </is>
      </c>
      <c r="H12" s="14" t="inlineStr">
        <is>
          <t>贸易差额建议配合资本流入一起看</t>
        </is>
      </c>
    </row>
    <row r="13" ht="21.75" customHeight="1" s="62">
      <c r="A13" s="16" t="inlineStr">
        <is>
          <t>D09</t>
        </is>
      </c>
      <c r="B13" s="17" t="inlineStr">
        <is>
          <t>财政政策与债务约束</t>
        </is>
      </c>
      <c r="C13" s="16" t="inlineStr">
        <is>
          <t>Policy/External</t>
        </is>
      </c>
      <c r="D13" s="16" t="inlineStr">
        <is>
          <t>8%</t>
        </is>
      </c>
      <c r="E13" s="17" t="inlineStr">
        <is>
          <t>财政赤字/GDP；债务/GDP；利息支出/财政收入</t>
        </is>
      </c>
      <c r="F13" s="17" t="inlineStr">
        <is>
          <t>月/季/年</t>
        </is>
      </c>
      <c r="G13" s="16" t="inlineStr">
        <is>
          <t>LowerBetter</t>
        </is>
      </c>
      <c r="H13" s="17" t="inlineStr">
        <is>
          <t>利息负担通常比债务存量更关键</t>
        </is>
      </c>
    </row>
    <row r="14" ht="21.75" customHeight="1" s="62">
      <c r="A14" s="73" t="inlineStr">
        <is>
          <t>D10</t>
        </is>
      </c>
      <c r="B14" s="14" t="inlineStr">
        <is>
          <t>金融条件与信用传导</t>
        </is>
      </c>
      <c r="C14" s="73" t="inlineStr">
        <is>
          <t>Policy/External</t>
        </is>
      </c>
      <c r="D14" s="73" t="inlineStr">
        <is>
          <t>6%</t>
        </is>
      </c>
      <c r="E14" s="73" t="inlineStr">
        <is>
          <t>FCI；银行信贷增速；TED利差</t>
        </is>
      </c>
      <c r="F14" s="14" t="inlineStr">
        <is>
          <t>周/月</t>
        </is>
      </c>
      <c r="G14" s="14" t="inlineStr">
        <is>
          <t>线性</t>
        </is>
      </c>
      <c r="H14" s="14" t="inlineStr">
        <is>
          <t>关注政策如何传导至实体融资条件</t>
        </is>
      </c>
    </row>
    <row r="15" ht="21.75" customHeight="1" s="62">
      <c r="A15" s="16" t="inlineStr">
        <is>
          <t>D11</t>
        </is>
      </c>
      <c r="B15" s="17" t="inlineStr">
        <is>
          <t>大宗商品与能源/地缘风险</t>
        </is>
      </c>
      <c r="C15" s="16" t="inlineStr">
        <is>
          <t>External Shock</t>
        </is>
      </c>
      <c r="D15" s="16" t="inlineStr">
        <is>
          <t>5%</t>
        </is>
      </c>
      <c r="E15" s="16" t="inlineStr">
        <is>
          <t>WTI；CRB同比；GPR指数</t>
        </is>
      </c>
      <c r="F15" s="17" t="inlineStr">
        <is>
          <t>日/月</t>
        </is>
      </c>
      <c r="G15" s="17" t="inlineStr">
        <is>
          <t>区间最优</t>
        </is>
      </c>
      <c r="H15" s="17" t="inlineStr">
        <is>
          <t>地缘风险必须使用明确数值序列</t>
        </is>
      </c>
    </row>
    <row r="16" ht="21.75" customHeight="1" s="62">
      <c r="A16" s="73" t="inlineStr">
        <is>
          <t>D12</t>
        </is>
      </c>
      <c r="B16" s="14" t="inlineStr">
        <is>
          <t>信心与不确定性</t>
        </is>
      </c>
      <c r="C16" s="73" t="inlineStr">
        <is>
          <t>Soft Data</t>
        </is>
      </c>
      <c r="D16" s="73" t="inlineStr">
        <is>
          <t>6%</t>
        </is>
      </c>
      <c r="E16" s="14" t="inlineStr">
        <is>
          <t>消费者信心；CEO Confidence；EPU</t>
        </is>
      </c>
      <c r="F16" s="14" t="inlineStr">
        <is>
          <t>月/季</t>
        </is>
      </c>
      <c r="G16" s="14" t="inlineStr">
        <is>
          <t>线性+3M均值</t>
        </is>
      </c>
      <c r="H16" s="14" t="inlineStr">
        <is>
          <t>软数据建议降噪后再看</t>
        </is>
      </c>
    </row>
    <row r="17" ht="21.75" customHeight="1" s="62">
      <c r="A17" s="18" t="inlineStr">
        <is>
          <t>D13</t>
        </is>
      </c>
      <c r="B17" s="18" t="inlineStr">
        <is>
          <t>AI资本开支周期</t>
        </is>
      </c>
      <c r="C17" s="18" t="inlineStr">
        <is>
          <t>Theme</t>
        </is>
      </c>
      <c r="D17" s="18" t="inlineStr">
        <is>
          <t>4%</t>
        </is>
      </c>
      <c r="E17" s="19" t="inlineStr">
        <is>
          <t>云业务增速；AI Capex指引；半导体景气代理</t>
        </is>
      </c>
      <c r="F17" s="19" t="inlineStr">
        <is>
          <t>季/月</t>
        </is>
      </c>
      <c r="G17" s="19" t="inlineStr">
        <is>
          <t>线性</t>
        </is>
      </c>
      <c r="H17" s="19" t="inlineStr">
        <is>
          <t>作为主题面板保留，避免权重过高</t>
        </is>
      </c>
    </row>
    <row r="18" ht="21.75" customHeight="1" s="62">
      <c r="A18" s="73" t="inlineStr">
        <is>
          <t>D14</t>
        </is>
      </c>
      <c r="B18" s="14" t="inlineStr">
        <is>
          <t>加密与稳定币流动性</t>
        </is>
      </c>
      <c r="C18" s="73" t="inlineStr">
        <is>
          <t>Theme</t>
        </is>
      </c>
      <c r="D18" s="73" t="inlineStr">
        <is>
          <t>1%</t>
        </is>
      </c>
      <c r="E18" s="73" t="inlineStr">
        <is>
          <t>BTC；USDC市值；稳定币总市值</t>
        </is>
      </c>
      <c r="F18" s="14" t="inlineStr">
        <is>
          <t>日/周</t>
        </is>
      </c>
      <c r="G18" s="14" t="inlineStr">
        <is>
          <t>线性/趋势</t>
        </is>
      </c>
      <c r="H18" s="14" t="inlineStr">
        <is>
          <t>建议长期改为趋势与波动组合</t>
        </is>
      </c>
    </row>
    <row r="19" ht="21.75" customHeight="1" s="62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21.75" customHeight="1" s="62">
      <c r="A20" s="73" t="n"/>
      <c r="B20" s="73" t="n"/>
      <c r="C20" s="73" t="n"/>
      <c r="D20" s="73" t="n"/>
      <c r="E20" s="73" t="n"/>
      <c r="F20" s="73" t="n"/>
      <c r="G20" s="73" t="n"/>
      <c r="H20" s="73" t="n"/>
    </row>
    <row r="21" ht="21.75" customHeight="1" s="62">
      <c r="A21" s="20" t="inlineStr">
        <is>
          <t>评分规则（建议正式版）</t>
        </is>
      </c>
      <c r="B21" s="75" t="inlineStr">
        <is>
          <t>单指标：使用历史分位数或线性/区间最优映射到0–100分；维度分：维度内加权平均；总分：Σ(维度分×权重)。</t>
        </is>
      </c>
      <c r="C21" s="74" t="n"/>
      <c r="D21" s="74" t="n"/>
      <c r="E21" s="74" t="n"/>
      <c r="F21" s="74" t="n"/>
      <c r="G21" s="74" t="n"/>
      <c r="H21" s="74" t="n"/>
    </row>
    <row r="22" ht="21.75" customHeight="1" s="62">
      <c r="A22" s="21" t="inlineStr">
        <is>
          <t>状态区间</t>
        </is>
      </c>
      <c r="B22" s="73" t="inlineStr">
        <is>
          <t>75–100 扩张偏热；60–75 温和扩张；45–60 中性脆弱；30–45 防御区；0–30 衰退/危机区。</t>
        </is>
      </c>
      <c r="C22" s="74" t="n"/>
      <c r="D22" s="74" t="n"/>
      <c r="E22" s="74" t="n"/>
      <c r="F22" s="74" t="n"/>
      <c r="G22" s="74" t="n"/>
      <c r="H22" s="74" t="n"/>
    </row>
    <row r="23" ht="21.75" customHeight="1" s="62">
      <c r="A23" s="20" t="inlineStr">
        <is>
          <t>使用建议</t>
        </is>
      </c>
      <c r="B23" s="75" t="inlineStr">
        <is>
          <t>总分用于战略判断；Alerts页红黄灯用于战术风控；AI/Crypto 建议作为主题景气面板而非主宏观驱动。</t>
        </is>
      </c>
      <c r="C23" s="74" t="n"/>
      <c r="D23" s="74" t="n"/>
      <c r="E23" s="74" t="n"/>
      <c r="F23" s="74" t="n"/>
      <c r="G23" s="74" t="n"/>
      <c r="H23" s="74" t="n"/>
    </row>
    <row r="24" ht="21.75" customHeight="1" s="62">
      <c r="A24" s="21" t="inlineStr">
        <is>
          <t>关联工作表</t>
        </is>
      </c>
      <c r="B24" s="73" t="inlineStr">
        <is>
          <t>Dimensions：维度定义；Indicators：指标库与参数；Inputs：填写最新值；Scores：自动算分；Alerts：预警触发。</t>
        </is>
      </c>
      <c r="C24" s="74" t="n"/>
      <c r="D24" s="74" t="n"/>
      <c r="E24" s="74" t="n"/>
      <c r="F24" s="74" t="n"/>
      <c r="G24" s="74" t="n"/>
      <c r="H24" s="74" t="n"/>
    </row>
  </sheetData>
  <mergeCells count="6">
    <mergeCell ref="B22:H22"/>
    <mergeCell ref="B21:H21"/>
    <mergeCell ref="A2:H2"/>
    <mergeCell ref="B24:H24"/>
    <mergeCell ref="A1:H1"/>
    <mergeCell ref="B23:H23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A5A5A5"/>
    <outlinePr summaryBelow="1" summaryRight="1"/>
    <pageSetUpPr/>
  </sheetPr>
  <dimension ref="A1:F14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22" customWidth="1" style="62" min="1" max="1"/>
    <col width="28" customWidth="1" style="62" min="2" max="3"/>
    <col width="18" customWidth="1" style="62" min="4" max="6"/>
  </cols>
  <sheetData>
    <row r="1" ht="18" customHeight="1" s="62">
      <c r="A1" s="78" t="inlineStr">
        <is>
          <t>宏观经济监控模型（机构级）— 带样例数据版</t>
        </is>
      </c>
    </row>
    <row r="3" ht="16.5" customHeight="1" s="62">
      <c r="A3" s="22" t="inlineStr">
        <is>
          <t>使用方式（建议）</t>
        </is>
      </c>
      <c r="B3" s="23" t="n"/>
      <c r="C3" s="23" t="n"/>
      <c r="D3" s="23" t="n"/>
      <c r="E3" s="23" t="n"/>
      <c r="F3" s="23" t="n"/>
    </row>
    <row r="4" ht="60" customHeight="1" s="62">
      <c r="A4" s="23" t="inlineStr">
        <is>
          <t>1) 本工作簿已预填一版截至 2026-03-01 左右的演示样例值。
2) 样例值主要用于展示打分框架如何运行，不代表完整投资建议。
3) 替换 Inputs 中蓝色单元格后，Scores / 仪表盘 / Alerts 会自动更新。</t>
        </is>
      </c>
      <c r="B4" s="23" t="n"/>
      <c r="C4" s="23" t="n"/>
      <c r="D4" s="23" t="n"/>
      <c r="E4" s="23" t="n"/>
      <c r="F4" s="23" t="n"/>
    </row>
    <row r="5" ht="15" customHeight="1" s="62">
      <c r="A5" s="23" t="n"/>
      <c r="B5" s="23" t="n"/>
      <c r="C5" s="23" t="n"/>
      <c r="D5" s="23" t="n"/>
      <c r="E5" s="23" t="n"/>
      <c r="F5" s="23" t="n"/>
    </row>
    <row r="6" ht="16.5" customHeight="1" s="62">
      <c r="A6" s="22" t="inlineStr">
        <is>
          <t>评分口径（默认）</t>
        </is>
      </c>
      <c r="B6" s="23" t="n"/>
      <c r="C6" s="23" t="n"/>
      <c r="D6" s="23" t="n"/>
      <c r="E6" s="23" t="n"/>
      <c r="F6" s="23" t="n"/>
    </row>
    <row r="7" ht="79.5" customHeight="1" s="62">
      <c r="A7" s="24" t="inlineStr">
        <is>
          <t>默认使用线性刻度并做0-100截尾：
HigherBetter: (x-Worst)/(Best-Worst)*100
LowerBetter: (Worst-x)/(Worst-Best)*100
TargetBand: 区间内100分，向两侧线性衰减至WorstLow/WorstHigh为0分。
你也可以在 Indicators 表把 ScaleType 改成 Percentile（需要你自行引入历史分位数计算模块）。</t>
        </is>
      </c>
      <c r="B7" s="23" t="n"/>
      <c r="C7" s="23" t="n"/>
      <c r="D7" s="23" t="n"/>
      <c r="E7" s="23" t="n"/>
      <c r="F7" s="23" t="n"/>
    </row>
    <row r="8" ht="15" customHeight="1" s="62">
      <c r="A8" s="23" t="n"/>
      <c r="B8" s="23" t="n"/>
      <c r="C8" s="23" t="n"/>
      <c r="D8" s="23" t="n"/>
      <c r="E8" s="23" t="n"/>
      <c r="F8" s="23" t="n"/>
    </row>
    <row r="9" ht="16.5" customHeight="1" s="62">
      <c r="A9" s="22" t="inlineStr">
        <is>
          <t>颜色约定</t>
        </is>
      </c>
      <c r="B9" s="23" t="n"/>
      <c r="C9" s="23" t="n"/>
      <c r="D9" s="23" t="n"/>
      <c r="E9" s="23" t="n"/>
      <c r="F9" s="23" t="n"/>
    </row>
    <row r="10" ht="63.75" customHeight="1" s="62">
      <c r="A10" s="24" t="inlineStr">
        <is>
          <t>蓝色：可编辑输入/可调参数；黑色：公式计算；橙色/红色：预警/异常。</t>
        </is>
      </c>
      <c r="B10" s="23" t="n"/>
      <c r="C10" s="23" t="n"/>
      <c r="D10" s="23" t="n"/>
      <c r="E10" s="23" t="n"/>
      <c r="F10" s="23" t="n"/>
    </row>
    <row r="12" ht="28" customHeight="1" s="62">
      <c r="A12" s="60" t="inlineStr">
        <is>
          <t>新增工作表</t>
        </is>
      </c>
      <c r="B12" s="67" t="inlineStr">
        <is>
          <t>数据源映射 / API代码映射 / 董事会Dashboard</t>
        </is>
      </c>
    </row>
    <row r="13" ht="42" customHeight="1" s="62">
      <c r="A13" s="60" t="inlineStr">
        <is>
          <t>建议使用顺序</t>
        </is>
      </c>
      <c r="B13" s="67" t="inlineStr">
        <is>
          <t>1) Inputs填数 2) Scores看分 3) Alerts看灯号 4) 董事会Dashboard汇报</t>
        </is>
      </c>
    </row>
    <row r="14" ht="42" customHeight="1" s="62">
      <c r="A14" s="60" t="inlineStr">
        <is>
          <t>维护建议</t>
        </is>
      </c>
      <c r="B14" s="67" t="inlineStr">
        <is>
          <t>优先锁定宏观主源（FRED/BEA/BLS/Treasury），主题面板固定单一数据源避免口径跳变。</t>
        </is>
      </c>
    </row>
  </sheetData>
  <mergeCells count="1">
    <mergeCell ref="A1:F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F15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12" customWidth="1" style="62" min="1" max="1"/>
    <col width="24" customWidth="1" style="62" min="2" max="2"/>
    <col width="18" customWidth="1" style="62" min="3" max="3"/>
    <col width="10" customWidth="1" style="62" min="4" max="4"/>
    <col width="46" customWidth="1" style="62" min="5" max="5"/>
    <col width="16" customWidth="1" style="62" min="6" max="6"/>
  </cols>
  <sheetData>
    <row r="1" ht="15" customHeight="1" s="62">
      <c r="A1" s="25" t="inlineStr">
        <is>
          <t>DimensionID</t>
        </is>
      </c>
      <c r="B1" s="25" t="inlineStr">
        <is>
          <t>DimensionName</t>
        </is>
      </c>
      <c r="C1" s="25" t="inlineStr">
        <is>
          <t>Tier</t>
        </is>
      </c>
      <c r="D1" s="25" t="inlineStr">
        <is>
          <t>Weight(%)</t>
        </is>
      </c>
      <c r="E1" s="25" t="inlineStr">
        <is>
          <t>Definition</t>
        </is>
      </c>
      <c r="F1" s="25" t="inlineStr">
        <is>
          <t>Typical Update</t>
        </is>
      </c>
    </row>
    <row r="2" ht="32.25" customHeight="1" s="62">
      <c r="A2" s="26" t="inlineStr">
        <is>
          <t>D01</t>
        </is>
      </c>
      <c r="B2" s="27" t="inlineStr">
        <is>
          <t>货币政策与流动性</t>
        </is>
      </c>
      <c r="C2" s="26" t="inlineStr">
        <is>
          <t>Core Macro</t>
        </is>
      </c>
      <c r="D2" s="26" t="n">
        <v>12</v>
      </c>
      <c r="E2" s="27" t="inlineStr">
        <is>
          <t>利率曲线、短端资金利率、央行资产负债表与净流动性。</t>
        </is>
      </c>
      <c r="F2" s="26" t="inlineStr">
        <is>
          <t>Daily/Weekly</t>
        </is>
      </c>
    </row>
    <row r="3" ht="34.5" customHeight="1" s="62">
      <c r="A3" s="26" t="inlineStr">
        <is>
          <t>D02</t>
        </is>
      </c>
      <c r="B3" s="27" t="inlineStr">
        <is>
          <t>增长与前瞻</t>
        </is>
      </c>
      <c r="C3" s="26" t="inlineStr">
        <is>
          <t>Core Macro</t>
        </is>
      </c>
      <c r="D3" s="26" t="n">
        <v>11</v>
      </c>
      <c r="E3" s="26" t="inlineStr">
        <is>
          <t>GDP/PMI/订单/初请等前瞻增长信号。</t>
        </is>
      </c>
      <c r="F3" s="26" t="inlineStr">
        <is>
          <t>Weekly/Monthly/Quarterly</t>
        </is>
      </c>
    </row>
    <row r="4" ht="32.25" customHeight="1" s="62">
      <c r="A4" s="26" t="inlineStr">
        <is>
          <t>D03</t>
        </is>
      </c>
      <c r="B4" s="27" t="inlineStr">
        <is>
          <t>通胀与价格压力</t>
        </is>
      </c>
      <c r="C4" s="26" t="inlineStr">
        <is>
          <t>Core Macro</t>
        </is>
      </c>
      <c r="D4" s="26" t="n">
        <v>10</v>
      </c>
      <c r="E4" s="27" t="inlineStr">
        <is>
          <t>核心通胀与通胀预期，判断政策约束与利润压力。</t>
        </is>
      </c>
      <c r="F4" s="26" t="inlineStr">
        <is>
          <t>Monthly</t>
        </is>
      </c>
    </row>
    <row r="5" ht="23.25" customHeight="1" s="62">
      <c r="A5" s="26" t="inlineStr">
        <is>
          <t>D04</t>
        </is>
      </c>
      <c r="B5" s="27" t="inlineStr">
        <is>
          <t>就业与居民部门</t>
        </is>
      </c>
      <c r="C5" s="26" t="inlineStr">
        <is>
          <t>Core Macro</t>
        </is>
      </c>
      <c r="D5" s="26" t="n">
        <v>10</v>
      </c>
      <c r="E5" s="27" t="inlineStr">
        <is>
          <t>就业、收入与居民信用压力。</t>
        </is>
      </c>
      <c r="F5" s="26" t="inlineStr">
        <is>
          <t>Monthly/Quarterly</t>
        </is>
      </c>
    </row>
    <row r="6" ht="23.25" customHeight="1" s="62">
      <c r="A6" s="26" t="inlineStr">
        <is>
          <t>D05</t>
        </is>
      </c>
      <c r="B6" s="27" t="inlineStr">
        <is>
          <t>企业盈利与信用</t>
        </is>
      </c>
      <c r="C6" s="26" t="inlineStr">
        <is>
          <t>Core Macro</t>
        </is>
      </c>
      <c r="D6" s="26" t="n">
        <v>8</v>
      </c>
      <c r="E6" s="27" t="inlineStr">
        <is>
          <t>盈利预期修正与信用利差/违约压力。</t>
        </is>
      </c>
      <c r="F6" s="26" t="inlineStr">
        <is>
          <t>Daily/Weekly/Monthly</t>
        </is>
      </c>
    </row>
    <row r="7" ht="16.5" customHeight="1" s="62">
      <c r="A7" s="26" t="inlineStr">
        <is>
          <t>D06</t>
        </is>
      </c>
      <c r="B7" s="27" t="inlineStr">
        <is>
          <t>房地产与利率敏感部门</t>
        </is>
      </c>
      <c r="C7" s="26" t="inlineStr">
        <is>
          <t>Core Macro</t>
        </is>
      </c>
      <c r="D7" s="26" t="n">
        <v>6</v>
      </c>
      <c r="E7" s="27" t="inlineStr">
        <is>
          <t>按揭利率、成交与开工，反映利率传导。</t>
        </is>
      </c>
      <c r="F7" s="26" t="inlineStr">
        <is>
          <t>Weekly/Monthly</t>
        </is>
      </c>
    </row>
    <row r="8" ht="16.5" customHeight="1" s="62">
      <c r="A8" s="26" t="inlineStr">
        <is>
          <t>D07</t>
        </is>
      </c>
      <c r="B8" s="27" t="inlineStr">
        <is>
          <t>风险偏好与跨资产波动</t>
        </is>
      </c>
      <c r="C8" s="26" t="inlineStr">
        <is>
          <t>Market Mapping</t>
        </is>
      </c>
      <c r="D8" s="26" t="n">
        <v>6</v>
      </c>
      <c r="E8" s="26" t="inlineStr">
        <is>
          <t>VIX/MOVE/信用利差等市场风险映射。</t>
        </is>
      </c>
      <c r="F8" s="26" t="inlineStr">
        <is>
          <t>Daily/Weekly</t>
        </is>
      </c>
    </row>
    <row r="9" ht="16.5" customHeight="1" s="62">
      <c r="A9" s="26" t="inlineStr">
        <is>
          <t>D08</t>
        </is>
      </c>
      <c r="B9" s="27" t="inlineStr">
        <is>
          <t>外部部门与美元条件</t>
        </is>
      </c>
      <c r="C9" s="26" t="inlineStr">
        <is>
          <t>Policy &amp; External</t>
        </is>
      </c>
      <c r="D9" s="26" t="n">
        <v>7</v>
      </c>
      <c r="E9" s="26" t="inlineStr">
        <is>
          <t>DXY/利差/资本流动等外部融资条件。</t>
        </is>
      </c>
      <c r="F9" s="26" t="inlineStr">
        <is>
          <t>Daily/Monthly</t>
        </is>
      </c>
    </row>
    <row r="10" ht="16.5" customHeight="1" s="62">
      <c r="A10" s="26" t="inlineStr">
        <is>
          <t>D09</t>
        </is>
      </c>
      <c r="B10" s="27" t="inlineStr">
        <is>
          <t>财政政策与债务约束</t>
        </is>
      </c>
      <c r="C10" s="26" t="inlineStr">
        <is>
          <t>Policy &amp; External</t>
        </is>
      </c>
      <c r="D10" s="26" t="n">
        <v>8</v>
      </c>
      <c r="E10" s="27" t="inlineStr">
        <is>
          <t>赤字、利息负担与债务路径。</t>
        </is>
      </c>
      <c r="F10" s="26" t="inlineStr">
        <is>
          <t>Quarterly/Annual</t>
        </is>
      </c>
    </row>
    <row r="11" ht="16.5" customHeight="1" s="62">
      <c r="A11" s="26" t="inlineStr">
        <is>
          <t>D10</t>
        </is>
      </c>
      <c r="B11" s="27" t="inlineStr">
        <is>
          <t>金融条件与信用传导</t>
        </is>
      </c>
      <c r="C11" s="26" t="inlineStr">
        <is>
          <t>Core Macro</t>
        </is>
      </c>
      <c r="D11" s="26" t="n">
        <v>6</v>
      </c>
      <c r="E11" s="27" t="inlineStr">
        <is>
          <t>金融条件指数、银行信贷供给与资金面压力。</t>
        </is>
      </c>
      <c r="F11" s="26" t="inlineStr">
        <is>
          <t>Weekly/Monthly</t>
        </is>
      </c>
    </row>
    <row r="12" ht="32.25" customHeight="1" s="62">
      <c r="A12" s="26" t="inlineStr">
        <is>
          <t>D11</t>
        </is>
      </c>
      <c r="B12" s="27" t="inlineStr">
        <is>
          <t>大宗商品与能源/地缘风险</t>
        </is>
      </c>
      <c r="C12" s="26" t="inlineStr">
        <is>
          <t>External/Commodities</t>
        </is>
      </c>
      <c r="D12" s="26" t="n">
        <v>5</v>
      </c>
      <c r="E12" s="27" t="inlineStr">
        <is>
          <t>油价/商品与地缘风险对通胀与增长的冲击。</t>
        </is>
      </c>
      <c r="F12" s="26" t="inlineStr">
        <is>
          <t>Daily/Monthly</t>
        </is>
      </c>
    </row>
    <row r="13" ht="23.25" customHeight="1" s="62">
      <c r="A13" s="26" t="inlineStr">
        <is>
          <t>D12</t>
        </is>
      </c>
      <c r="B13" s="27" t="inlineStr">
        <is>
          <t>信心与不确定性</t>
        </is>
      </c>
      <c r="C13" s="26" t="inlineStr">
        <is>
          <t>Soft Data</t>
        </is>
      </c>
      <c r="D13" s="26" t="n">
        <v>6</v>
      </c>
      <c r="E13" s="27" t="inlineStr">
        <is>
          <t>消费者/企业信心与政策不确定性。</t>
        </is>
      </c>
      <c r="F13" s="26" t="inlineStr">
        <is>
          <t>Monthly/Quarterly</t>
        </is>
      </c>
    </row>
    <row r="14" ht="16.5" customHeight="1" s="62">
      <c r="A14" s="26" t="inlineStr">
        <is>
          <t>D13</t>
        </is>
      </c>
      <c r="B14" s="26" t="inlineStr">
        <is>
          <t>AI资本开支周期（主题）</t>
        </is>
      </c>
      <c r="C14" s="26" t="inlineStr">
        <is>
          <t>Theme Panel</t>
        </is>
      </c>
      <c r="D14" s="26" t="n">
        <v>4</v>
      </c>
      <c r="E14" s="27" t="inlineStr">
        <is>
          <t>云与AI资本开支/营收动能（不应喧宾夺主）。</t>
        </is>
      </c>
      <c r="F14" s="26" t="inlineStr">
        <is>
          <t>Quarterly</t>
        </is>
      </c>
    </row>
    <row r="15" ht="32.25" customHeight="1" s="62">
      <c r="A15" s="26" t="inlineStr">
        <is>
          <t>D14</t>
        </is>
      </c>
      <c r="B15" s="27" t="inlineStr">
        <is>
          <t>加密与稳定币流动性（主题）</t>
        </is>
      </c>
      <c r="C15" s="26" t="inlineStr">
        <is>
          <t>Theme Panel</t>
        </is>
      </c>
      <c r="D15" s="26" t="n">
        <v>1</v>
      </c>
      <c r="E15" s="27" t="inlineStr">
        <is>
          <t>稳定币与链上流动性（低权重主题观察）。</t>
        </is>
      </c>
      <c r="F15" s="26" t="inlineStr">
        <is>
          <t>Daily/Weekly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T46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10" defaultColWidth="8.6640625" defaultRowHeight="15" customHeight="1"/>
  <cols>
    <col width="18" customWidth="1" style="62" min="1" max="1"/>
    <col width="8" customWidth="1" style="62" min="2" max="2"/>
    <col width="28" customWidth="1" style="62" min="3" max="3"/>
    <col width="9" customWidth="1" style="62" min="4" max="4"/>
    <col width="11" customWidth="1" style="62" min="5" max="5"/>
    <col width="18" customWidth="1" style="62" min="6" max="6"/>
    <col width="28" customWidth="1" style="62" min="7" max="7"/>
    <col width="18" customWidth="1" style="62" min="8" max="8"/>
    <col width="12" customWidth="1" style="62" min="9" max="10"/>
    <col width="10" customWidth="1" style="62" min="11" max="18"/>
    <col width="12" customWidth="1" style="62" min="19" max="19"/>
    <col width="30" customWidth="1" style="62" min="20" max="20"/>
  </cols>
  <sheetData>
    <row r="1" ht="27.75" customHeight="1" s="62">
      <c r="A1" s="28" t="inlineStr">
        <is>
          <t>IndicatorCode</t>
        </is>
      </c>
      <c r="B1" s="28" t="inlineStr">
        <is>
          <t>DimensionID</t>
        </is>
      </c>
      <c r="C1" s="28" t="inlineStr">
        <is>
          <t>IndicatorName</t>
        </is>
      </c>
      <c r="D1" s="28" t="inlineStr">
        <is>
          <t>Units</t>
        </is>
      </c>
      <c r="E1" s="28" t="inlineStr">
        <is>
          <t>Frequency</t>
        </is>
      </c>
      <c r="F1" s="28" t="inlineStr">
        <is>
          <t>Source</t>
        </is>
      </c>
      <c r="G1" s="28" t="inlineStr">
        <is>
          <t>SourceURL</t>
        </is>
      </c>
      <c r="H1" s="28" t="inlineStr">
        <is>
          <t>Series/Code</t>
        </is>
      </c>
      <c r="I1" s="28" t="inlineStr">
        <is>
          <t>ScaleType</t>
        </is>
      </c>
      <c r="J1" s="28" t="inlineStr">
        <is>
          <t>Direction</t>
        </is>
      </c>
      <c r="K1" s="28" t="inlineStr">
        <is>
          <t>Best</t>
        </is>
      </c>
      <c r="L1" s="28" t="inlineStr">
        <is>
          <t>Worst</t>
        </is>
      </c>
      <c r="M1" s="28" t="inlineStr">
        <is>
          <t>WorstLow</t>
        </is>
      </c>
      <c r="N1" s="28" t="inlineStr">
        <is>
          <t>TargetLow</t>
        </is>
      </c>
      <c r="O1" s="28" t="inlineStr">
        <is>
          <t>TargetHigh</t>
        </is>
      </c>
      <c r="P1" s="28" t="inlineStr">
        <is>
          <t>WorstHigh</t>
        </is>
      </c>
      <c r="Q1" s="28" t="inlineStr">
        <is>
          <t>CapLow</t>
        </is>
      </c>
      <c r="R1" s="28" t="inlineStr">
        <is>
          <t>CapHigh</t>
        </is>
      </c>
      <c r="S1" s="28" t="inlineStr">
        <is>
          <t>WeightWithinDim</t>
        </is>
      </c>
      <c r="T1" s="28" t="inlineStr">
        <is>
          <t>Notes</t>
        </is>
      </c>
    </row>
    <row r="2" ht="32.25" customHeight="1" s="62">
      <c r="A2" s="15" t="inlineStr">
        <is>
          <t>YC_10Y3M</t>
        </is>
      </c>
      <c r="B2" s="15" t="inlineStr">
        <is>
          <t>D01</t>
        </is>
      </c>
      <c r="C2" s="15" t="inlineStr">
        <is>
          <t>10Y-3M利差（bps）</t>
        </is>
      </c>
      <c r="D2" s="15" t="inlineStr">
        <is>
          <t>bps</t>
        </is>
      </c>
      <c r="E2" s="15" t="inlineStr">
        <is>
          <t>Daily</t>
        </is>
      </c>
      <c r="F2" s="15" t="inlineStr">
        <is>
          <t>FRED (H.15)</t>
        </is>
      </c>
      <c r="G2" s="15" t="inlineStr">
        <is>
          <t>https://fred.stlouisfed.org/series/DGS10</t>
        </is>
      </c>
      <c r="H2" s="15" t="inlineStr">
        <is>
          <t>DGS10 &amp; DGS3MO</t>
        </is>
      </c>
      <c r="I2" s="15" t="inlineStr">
        <is>
          <t>Linear</t>
        </is>
      </c>
      <c r="J2" s="15" t="inlineStr">
        <is>
          <t>HigherBetter</t>
        </is>
      </c>
      <c r="K2" s="15" t="n">
        <v>150</v>
      </c>
      <c r="L2" s="15" t="n">
        <v>-200</v>
      </c>
      <c r="M2" s="15" t="n"/>
      <c r="N2" s="15" t="n"/>
      <c r="O2" s="15" t="n"/>
      <c r="P2" s="15" t="n"/>
      <c r="Q2" s="15" t="n"/>
      <c r="R2" s="15" t="n"/>
      <c r="S2" s="15" t="n">
        <v>0.4</v>
      </c>
      <c r="T2" s="75" t="inlineStr">
        <is>
          <t>在 Scores 表用(10Y-3M)输入；建议直接填利差值。</t>
        </is>
      </c>
    </row>
    <row r="3" ht="23.25" customHeight="1" s="62">
      <c r="A3" s="15" t="inlineStr">
        <is>
          <t>SOFR</t>
        </is>
      </c>
      <c r="B3" s="15" t="inlineStr">
        <is>
          <t>D01</t>
        </is>
      </c>
      <c r="C3" s="15" t="inlineStr">
        <is>
          <t>SOFR（%）</t>
        </is>
      </c>
      <c r="D3" s="15" t="inlineStr">
        <is>
          <t>%</t>
        </is>
      </c>
      <c r="E3" s="15" t="inlineStr">
        <is>
          <t>Daily</t>
        </is>
      </c>
      <c r="F3" s="15" t="inlineStr">
        <is>
          <t>NY Fed / FRED</t>
        </is>
      </c>
      <c r="G3" s="15" t="inlineStr">
        <is>
          <t>https://fred.stlouisfed.org/series/SOFR</t>
        </is>
      </c>
      <c r="H3" s="15" t="inlineStr">
        <is>
          <t>SOFR</t>
        </is>
      </c>
      <c r="I3" s="15" t="inlineStr">
        <is>
          <t>Linear</t>
        </is>
      </c>
      <c r="J3" s="15" t="inlineStr">
        <is>
          <t>LowerBetter</t>
        </is>
      </c>
      <c r="K3" s="15" t="n">
        <v>0.5</v>
      </c>
      <c r="L3" s="15" t="n">
        <v>7</v>
      </c>
      <c r="M3" s="15" t="n"/>
      <c r="N3" s="15" t="n"/>
      <c r="O3" s="15" t="n"/>
      <c r="P3" s="15" t="n"/>
      <c r="Q3" s="15" t="n">
        <v>0</v>
      </c>
      <c r="R3" s="15" t="n">
        <v>15</v>
      </c>
      <c r="S3" s="15" t="n">
        <v>0.25</v>
      </c>
      <c r="T3" s="75" t="inlineStr">
        <is>
          <t>可替换为EFFR或短端实际利率。</t>
        </is>
      </c>
    </row>
    <row r="4" ht="32.25" customHeight="1" s="62">
      <c r="A4" s="15" t="inlineStr">
        <is>
          <t>FED_ASSETS</t>
        </is>
      </c>
      <c r="B4" s="15" t="inlineStr">
        <is>
          <t>D01</t>
        </is>
      </c>
      <c r="C4" s="75" t="inlineStr">
        <is>
          <t>美联储总资产（$T）</t>
        </is>
      </c>
      <c r="D4" s="15" t="inlineStr">
        <is>
          <t>$T</t>
        </is>
      </c>
      <c r="E4" s="15" t="inlineStr">
        <is>
          <t>Weekly</t>
        </is>
      </c>
      <c r="F4" s="15" t="inlineStr">
        <is>
          <t>FRED (H.4.1)</t>
        </is>
      </c>
      <c r="G4" s="15" t="inlineStr">
        <is>
          <t>https://fred.stlouisfed.org/series/WALCL</t>
        </is>
      </c>
      <c r="H4" s="15" t="inlineStr">
        <is>
          <t>WALCL</t>
        </is>
      </c>
      <c r="I4" s="15" t="inlineStr">
        <is>
          <t>Linear</t>
        </is>
      </c>
      <c r="J4" s="15" t="inlineStr">
        <is>
          <t>LowerBetter</t>
        </is>
      </c>
      <c r="K4" s="15" t="n">
        <v>5</v>
      </c>
      <c r="L4" s="15" t="n">
        <v>9</v>
      </c>
      <c r="M4" s="15" t="n"/>
      <c r="N4" s="15" t="n"/>
      <c r="O4" s="15" t="n"/>
      <c r="P4" s="15" t="n"/>
      <c r="Q4" s="15" t="n"/>
      <c r="R4" s="15" t="n"/>
      <c r="S4" s="15" t="n">
        <v>0.15</v>
      </c>
      <c r="T4" s="75" t="inlineStr">
        <is>
          <t>用于衡量QE/QT方向；也可改为YoY变化。</t>
        </is>
      </c>
    </row>
    <row r="5" ht="32.25" customHeight="1" s="62">
      <c r="A5" s="15" t="inlineStr">
        <is>
          <t>NET_LIQ_PROXY</t>
        </is>
      </c>
      <c r="B5" s="15" t="inlineStr">
        <is>
          <t>D01</t>
        </is>
      </c>
      <c r="C5" s="75" t="inlineStr">
        <is>
          <t>净流动性代理（自定义）</t>
        </is>
      </c>
      <c r="D5" s="15" t="inlineStr">
        <is>
          <t>index</t>
        </is>
      </c>
      <c r="E5" s="15" t="inlineStr">
        <is>
          <t>Weekly</t>
        </is>
      </c>
      <c r="F5" s="15" t="inlineStr">
        <is>
          <t>User Calc</t>
        </is>
      </c>
      <c r="G5" s="15" t="inlineStr">
        <is>
          <t>(填你的来源或模型)</t>
        </is>
      </c>
      <c r="H5" s="15" t="inlineStr">
        <is>
          <t>N/A</t>
        </is>
      </c>
      <c r="I5" s="15" t="inlineStr">
        <is>
          <t>Linear</t>
        </is>
      </c>
      <c r="J5" s="15" t="inlineStr">
        <is>
          <t>HigherBetter</t>
        </is>
      </c>
      <c r="K5" s="15" t="n">
        <v>1</v>
      </c>
      <c r="L5" s="15" t="n">
        <v>-1</v>
      </c>
      <c r="M5" s="15" t="n"/>
      <c r="N5" s="15" t="n"/>
      <c r="O5" s="15" t="n"/>
      <c r="P5" s="15" t="n"/>
      <c r="Q5" s="15" t="n"/>
      <c r="R5" s="15" t="n"/>
      <c r="S5" s="15" t="n">
        <v>0.2</v>
      </c>
      <c r="T5" s="75" t="inlineStr">
        <is>
          <t>建议：Fed资产- TGA - RRP（需你定义并填值）。</t>
        </is>
      </c>
    </row>
    <row r="6" ht="32.25" customHeight="1" s="62">
      <c r="A6" s="15" t="inlineStr">
        <is>
          <t>GDP_QOQ_SAAR</t>
        </is>
      </c>
      <c r="B6" s="15" t="inlineStr">
        <is>
          <t>D02</t>
        </is>
      </c>
      <c r="C6" s="75" t="inlineStr">
        <is>
          <t>实际GDP环比折年（%）</t>
        </is>
      </c>
      <c r="D6" s="15" t="inlineStr">
        <is>
          <t>%</t>
        </is>
      </c>
      <c r="E6" s="15" t="inlineStr">
        <is>
          <t>Quarterly</t>
        </is>
      </c>
      <c r="F6" s="15" t="inlineStr">
        <is>
          <t>BEA</t>
        </is>
      </c>
      <c r="G6" s="15" t="inlineStr">
        <is>
          <t>https://www.bea.gov/</t>
        </is>
      </c>
      <c r="H6" s="15" t="inlineStr">
        <is>
          <t>GDP</t>
        </is>
      </c>
      <c r="I6" s="15" t="inlineStr">
        <is>
          <t>TargetBand</t>
        </is>
      </c>
      <c r="J6" s="15" t="inlineStr">
        <is>
          <t>TargetRange</t>
        </is>
      </c>
      <c r="K6" s="15" t="n"/>
      <c r="L6" s="15" t="n"/>
      <c r="M6" s="15" t="n">
        <v>-2</v>
      </c>
      <c r="N6" s="15" t="n">
        <v>1.5</v>
      </c>
      <c r="O6" s="15" t="n">
        <v>3</v>
      </c>
      <c r="P6" s="15" t="n">
        <v>5</v>
      </c>
      <c r="Q6" s="15" t="n"/>
      <c r="R6" s="15" t="n"/>
      <c r="S6" s="15" t="n">
        <v>0.3</v>
      </c>
      <c r="T6" s="75" t="inlineStr">
        <is>
          <t>区间内更理想；衰退/过热都扣分。</t>
        </is>
      </c>
    </row>
    <row r="7" ht="32.25" customHeight="1" s="62">
      <c r="A7" s="15" t="inlineStr">
        <is>
          <t>PMI_MAN</t>
        </is>
      </c>
      <c r="B7" s="15" t="inlineStr">
        <is>
          <t>D02</t>
        </is>
      </c>
      <c r="C7" s="75" t="inlineStr">
        <is>
          <t>制造业PMI</t>
        </is>
      </c>
      <c r="D7" s="15" t="inlineStr">
        <is>
          <t>index</t>
        </is>
      </c>
      <c r="E7" s="15" t="inlineStr">
        <is>
          <t>Monthly</t>
        </is>
      </c>
      <c r="F7" s="15" t="inlineStr">
        <is>
          <t>ISM/S&amp;P</t>
        </is>
      </c>
      <c r="G7" s="15" t="inlineStr">
        <is>
          <t>(填你使用的PMI来源)</t>
        </is>
      </c>
      <c r="H7" s="15" t="inlineStr">
        <is>
          <t>PMI</t>
        </is>
      </c>
      <c r="I7" s="15" t="inlineStr">
        <is>
          <t>TargetBand</t>
        </is>
      </c>
      <c r="J7" s="15" t="inlineStr">
        <is>
          <t>TargetRange</t>
        </is>
      </c>
      <c r="K7" s="15" t="n"/>
      <c r="L7" s="15" t="n"/>
      <c r="M7" s="15" t="n">
        <v>45</v>
      </c>
      <c r="N7" s="15" t="n">
        <v>50</v>
      </c>
      <c r="O7" s="15" t="n">
        <v>55</v>
      </c>
      <c r="P7" s="15" t="n">
        <v>60</v>
      </c>
      <c r="Q7" s="15" t="n"/>
      <c r="R7" s="15" t="n"/>
      <c r="S7" s="15" t="n">
        <v>0.25</v>
      </c>
      <c r="T7" s="15" t="inlineStr">
        <is>
          <t>&gt;=50扩张；过热也可能引发通胀/政策收紧。</t>
        </is>
      </c>
    </row>
    <row r="8" ht="23.25" customHeight="1" s="62">
      <c r="A8" s="15" t="inlineStr">
        <is>
          <t>CLAIMS_4WMA</t>
        </is>
      </c>
      <c r="B8" s="15" t="inlineStr">
        <is>
          <t>D02</t>
        </is>
      </c>
      <c r="C8" s="75" t="inlineStr">
        <is>
          <t>初请失业金四周均值</t>
        </is>
      </c>
      <c r="D8" s="15" t="inlineStr">
        <is>
          <t>k</t>
        </is>
      </c>
      <c r="E8" s="15" t="inlineStr">
        <is>
          <t>Weekly</t>
        </is>
      </c>
      <c r="F8" s="15" t="inlineStr">
        <is>
          <t>FRED</t>
        </is>
      </c>
      <c r="G8" s="15" t="inlineStr">
        <is>
          <t>https://fred.stlouisfed.org/series/IC4WSA</t>
        </is>
      </c>
      <c r="H8" s="15" t="inlineStr">
        <is>
          <t>IC4WSA</t>
        </is>
      </c>
      <c r="I8" s="15" t="inlineStr">
        <is>
          <t>Linear</t>
        </is>
      </c>
      <c r="J8" s="15" t="inlineStr">
        <is>
          <t>LowerBetter</t>
        </is>
      </c>
      <c r="K8" s="15" t="n">
        <v>180</v>
      </c>
      <c r="L8" s="15" t="n">
        <v>400</v>
      </c>
      <c r="M8" s="15" t="n"/>
      <c r="N8" s="15" t="n"/>
      <c r="O8" s="15" t="n"/>
      <c r="P8" s="15" t="n"/>
      <c r="Q8" s="15" t="n"/>
      <c r="R8" s="15" t="n"/>
      <c r="S8" s="15" t="n">
        <v>0.25</v>
      </c>
      <c r="T8" s="75" t="inlineStr">
        <is>
          <t>越低越好。</t>
        </is>
      </c>
    </row>
    <row r="9" ht="23.25" customHeight="1" s="62">
      <c r="A9" s="15" t="inlineStr">
        <is>
          <t>LEI</t>
        </is>
      </c>
      <c r="B9" s="15" t="inlineStr">
        <is>
          <t>D02</t>
        </is>
      </c>
      <c r="C9" s="75" t="inlineStr">
        <is>
          <t>领先指标（LEI）同比（%）</t>
        </is>
      </c>
      <c r="D9" s="15" t="inlineStr">
        <is>
          <t>%</t>
        </is>
      </c>
      <c r="E9" s="15" t="inlineStr">
        <is>
          <t>Monthly</t>
        </is>
      </c>
      <c r="F9" s="15" t="inlineStr">
        <is>
          <t>Conference Board</t>
        </is>
      </c>
      <c r="G9" s="15" t="inlineStr">
        <is>
          <t>https://www.conference-board.org/</t>
        </is>
      </c>
      <c r="H9" s="15" t="inlineStr">
        <is>
          <t>LEI YoY</t>
        </is>
      </c>
      <c r="I9" s="15" t="inlineStr">
        <is>
          <t>Linear</t>
        </is>
      </c>
      <c r="J9" s="15" t="inlineStr">
        <is>
          <t>HigherBetter</t>
        </is>
      </c>
      <c r="K9" s="15" t="n">
        <v>5</v>
      </c>
      <c r="L9" s="15" t="n">
        <v>-10</v>
      </c>
      <c r="M9" s="15" t="n"/>
      <c r="N9" s="15" t="n"/>
      <c r="O9" s="15" t="n"/>
      <c r="P9" s="15" t="n"/>
      <c r="Q9" s="15" t="n"/>
      <c r="R9" s="15" t="n"/>
      <c r="S9" s="15" t="n">
        <v>0.2</v>
      </c>
      <c r="T9" s="75" t="inlineStr">
        <is>
          <t>需要你接入LEI数据。</t>
        </is>
      </c>
    </row>
    <row r="10" ht="32.25" customHeight="1" s="62">
      <c r="A10" s="15" t="inlineStr">
        <is>
          <t>CORE_CPI_YOY</t>
        </is>
      </c>
      <c r="B10" s="15" t="inlineStr">
        <is>
          <t>D03</t>
        </is>
      </c>
      <c r="C10" s="75" t="inlineStr">
        <is>
          <t>核心CPI同比（%）</t>
        </is>
      </c>
      <c r="D10" s="15" t="inlineStr">
        <is>
          <t>%</t>
        </is>
      </c>
      <c r="E10" s="15" t="inlineStr">
        <is>
          <t>Monthly</t>
        </is>
      </c>
      <c r="F10" s="15" t="inlineStr">
        <is>
          <t>BLS/FRED</t>
        </is>
      </c>
      <c r="G10" s="15" t="inlineStr">
        <is>
          <t>https://fred.stlouisfed.org/series/CPILFESL</t>
        </is>
      </c>
      <c r="H10" s="15" t="inlineStr">
        <is>
          <t>CPILFESL</t>
        </is>
      </c>
      <c r="I10" s="15" t="inlineStr">
        <is>
          <t>TargetBand</t>
        </is>
      </c>
      <c r="J10" s="15" t="inlineStr">
        <is>
          <t>TargetRange</t>
        </is>
      </c>
      <c r="K10" s="15" t="n"/>
      <c r="L10" s="15" t="n"/>
      <c r="M10" s="15" t="n">
        <v>0.5</v>
      </c>
      <c r="N10" s="15" t="n">
        <v>2</v>
      </c>
      <c r="O10" s="15" t="n">
        <v>2.7</v>
      </c>
      <c r="P10" s="15" t="n">
        <v>5</v>
      </c>
      <c r="Q10" s="15" t="n"/>
      <c r="R10" s="15" t="n"/>
      <c r="S10" s="15" t="n">
        <v>0.35</v>
      </c>
      <c r="T10" s="75" t="inlineStr">
        <is>
          <t>目标区间可按你的政策偏好调整。</t>
        </is>
      </c>
    </row>
    <row r="11" ht="23.25" customHeight="1" s="62">
      <c r="A11" s="15" t="inlineStr">
        <is>
          <t>CORE_PCE_YOY</t>
        </is>
      </c>
      <c r="B11" s="15" t="inlineStr">
        <is>
          <t>D03</t>
        </is>
      </c>
      <c r="C11" s="75" t="inlineStr">
        <is>
          <t>核心PCE同比（%）</t>
        </is>
      </c>
      <c r="D11" s="15" t="inlineStr">
        <is>
          <t>%</t>
        </is>
      </c>
      <c r="E11" s="15" t="inlineStr">
        <is>
          <t>Monthly</t>
        </is>
      </c>
      <c r="F11" s="15" t="inlineStr">
        <is>
          <t>BEA/FRED</t>
        </is>
      </c>
      <c r="G11" s="15" t="inlineStr">
        <is>
          <t>https://fred.stlouisfed.org/series/PCEPILFE</t>
        </is>
      </c>
      <c r="H11" s="15" t="inlineStr">
        <is>
          <t>PCEPILFE</t>
        </is>
      </c>
      <c r="I11" s="15" t="inlineStr">
        <is>
          <t>TargetBand</t>
        </is>
      </c>
      <c r="J11" s="15" t="inlineStr">
        <is>
          <t>TargetRange</t>
        </is>
      </c>
      <c r="K11" s="15" t="n"/>
      <c r="L11" s="15" t="n"/>
      <c r="M11" s="15" t="n">
        <v>0.5</v>
      </c>
      <c r="N11" s="15" t="n">
        <v>1.8</v>
      </c>
      <c r="O11" s="15" t="n">
        <v>2.5</v>
      </c>
      <c r="P11" s="15" t="n">
        <v>4.5</v>
      </c>
      <c r="Q11" s="15" t="n"/>
      <c r="R11" s="15" t="n"/>
      <c r="S11" s="15" t="n">
        <v>0.35</v>
      </c>
      <c r="T11" s="75" t="inlineStr">
        <is>
          <t>更贴近美联储目标。</t>
        </is>
      </c>
    </row>
    <row r="12" ht="23.25" customHeight="1" s="62">
      <c r="A12" s="15" t="inlineStr">
        <is>
          <t>BREAKEVEN_5Y5Y</t>
        </is>
      </c>
      <c r="B12" s="15" t="inlineStr">
        <is>
          <t>D03</t>
        </is>
      </c>
      <c r="C12" s="15" t="inlineStr">
        <is>
          <t>5Y5Y通胀预期（%）</t>
        </is>
      </c>
      <c r="D12" s="15" t="inlineStr">
        <is>
          <t>%</t>
        </is>
      </c>
      <c r="E12" s="15" t="inlineStr">
        <is>
          <t>Daily</t>
        </is>
      </c>
      <c r="F12" s="15" t="inlineStr">
        <is>
          <t>FRED</t>
        </is>
      </c>
      <c r="G12" s="15" t="inlineStr">
        <is>
          <t>https://fred.stlouisfed.org/series/T5YIFR</t>
        </is>
      </c>
      <c r="H12" s="15" t="inlineStr">
        <is>
          <t>T5YIFR</t>
        </is>
      </c>
      <c r="I12" s="15" t="inlineStr">
        <is>
          <t>TargetBand</t>
        </is>
      </c>
      <c r="J12" s="15" t="inlineStr">
        <is>
          <t>TargetRange</t>
        </is>
      </c>
      <c r="K12" s="15" t="n"/>
      <c r="L12" s="15" t="n"/>
      <c r="M12" s="15" t="n">
        <v>0.5</v>
      </c>
      <c r="N12" s="15" t="n">
        <v>2</v>
      </c>
      <c r="O12" s="15" t="n">
        <v>2.6</v>
      </c>
      <c r="P12" s="15" t="n">
        <v>3.5</v>
      </c>
      <c r="Q12" s="15" t="n"/>
      <c r="R12" s="15" t="n"/>
      <c r="S12" s="15" t="n">
        <v>0.3</v>
      </c>
      <c r="T12" s="75" t="inlineStr">
        <is>
          <t>也可用10Y BEI等。</t>
        </is>
      </c>
    </row>
    <row r="13" ht="32.25" customHeight="1" s="62">
      <c r="A13" s="15" t="inlineStr">
        <is>
          <t>UNRATE</t>
        </is>
      </c>
      <c r="B13" s="15" t="inlineStr">
        <is>
          <t>D04</t>
        </is>
      </c>
      <c r="C13" s="75" t="inlineStr">
        <is>
          <t>失业率（%）</t>
        </is>
      </c>
      <c r="D13" s="15" t="inlineStr">
        <is>
          <t>%</t>
        </is>
      </c>
      <c r="E13" s="15" t="inlineStr">
        <is>
          <t>Monthly</t>
        </is>
      </c>
      <c r="F13" s="15" t="inlineStr">
        <is>
          <t>BLS/FRED</t>
        </is>
      </c>
      <c r="G13" s="15" t="inlineStr">
        <is>
          <t>https://fred.stlouisfed.org/series/UNRATE</t>
        </is>
      </c>
      <c r="H13" s="15" t="inlineStr">
        <is>
          <t>UNRATE</t>
        </is>
      </c>
      <c r="I13" s="15" t="inlineStr">
        <is>
          <t>TargetBand</t>
        </is>
      </c>
      <c r="J13" s="15" t="inlineStr">
        <is>
          <t>TargetRange</t>
        </is>
      </c>
      <c r="K13" s="15" t="n"/>
      <c r="L13" s="15" t="n"/>
      <c r="M13" s="15" t="n">
        <v>2.5</v>
      </c>
      <c r="N13" s="15" t="n">
        <v>3.5</v>
      </c>
      <c r="O13" s="15" t="n">
        <v>4.5</v>
      </c>
      <c r="P13" s="15" t="n">
        <v>7</v>
      </c>
      <c r="Q13" s="15" t="n"/>
      <c r="R13" s="15" t="n"/>
      <c r="S13" s="15" t="n">
        <v>0.35</v>
      </c>
      <c r="T13" s="75" t="inlineStr">
        <is>
          <t>过低可能偏热；过高是衰退信号。</t>
        </is>
      </c>
    </row>
    <row r="14" ht="23.25" customHeight="1" s="62">
      <c r="A14" s="15" t="inlineStr">
        <is>
          <t>WAGE_GROWTH</t>
        </is>
      </c>
      <c r="B14" s="15" t="inlineStr">
        <is>
          <t>D04</t>
        </is>
      </c>
      <c r="C14" s="75" t="inlineStr">
        <is>
          <t>平均时薪同比（%）</t>
        </is>
      </c>
      <c r="D14" s="15" t="inlineStr">
        <is>
          <t>%</t>
        </is>
      </c>
      <c r="E14" s="15" t="inlineStr">
        <is>
          <t>Monthly</t>
        </is>
      </c>
      <c r="F14" s="15" t="inlineStr">
        <is>
          <t>BLS/FRED</t>
        </is>
      </c>
      <c r="G14" s="15" t="inlineStr">
        <is>
          <t>https://fred.stlouisfed.org/series/CES0500000003</t>
        </is>
      </c>
      <c r="H14" s="15" t="inlineStr">
        <is>
          <t>CES0500000003</t>
        </is>
      </c>
      <c r="I14" s="15" t="inlineStr">
        <is>
          <t>TargetBand</t>
        </is>
      </c>
      <c r="J14" s="15" t="inlineStr">
        <is>
          <t>TargetRange</t>
        </is>
      </c>
      <c r="K14" s="15" t="n"/>
      <c r="L14" s="15" t="n"/>
      <c r="M14" s="15" t="n">
        <v>0.5</v>
      </c>
      <c r="N14" s="15" t="n">
        <v>3</v>
      </c>
      <c r="O14" s="15" t="n">
        <v>4</v>
      </c>
      <c r="P14" s="15" t="n">
        <v>6</v>
      </c>
      <c r="Q14" s="15" t="n"/>
      <c r="R14" s="15" t="n"/>
      <c r="S14" s="15" t="n">
        <v>0.25</v>
      </c>
      <c r="T14" s="75" t="inlineStr">
        <is>
          <t>工资过高可能推升服务通胀。</t>
        </is>
      </c>
    </row>
    <row r="15" ht="23.25" customHeight="1" s="62">
      <c r="A15" s="15" t="inlineStr">
        <is>
          <t>CC_DELINQ</t>
        </is>
      </c>
      <c r="B15" s="15" t="inlineStr">
        <is>
          <t>D04</t>
        </is>
      </c>
      <c r="C15" s="75" t="inlineStr">
        <is>
          <t>信用卡拖欠率（%）</t>
        </is>
      </c>
      <c r="D15" s="15" t="inlineStr">
        <is>
          <t>%</t>
        </is>
      </c>
      <c r="E15" s="15" t="inlineStr">
        <is>
          <t>Quarterly</t>
        </is>
      </c>
      <c r="F15" s="15" t="inlineStr">
        <is>
          <t>FRED</t>
        </is>
      </c>
      <c r="G15" s="15" t="inlineStr">
        <is>
          <t>https://fred.stlouisfed.org/series/DRCCLACBS</t>
        </is>
      </c>
      <c r="H15" s="15" t="inlineStr">
        <is>
          <t>DRCCLACBS</t>
        </is>
      </c>
      <c r="I15" s="15" t="inlineStr">
        <is>
          <t>Linear</t>
        </is>
      </c>
      <c r="J15" s="15" t="inlineStr">
        <is>
          <t>LowerBetter</t>
        </is>
      </c>
      <c r="K15" s="15" t="n">
        <v>1.5</v>
      </c>
      <c r="L15" s="15" t="n">
        <v>5</v>
      </c>
      <c r="M15" s="15" t="n"/>
      <c r="N15" s="15" t="n"/>
      <c r="O15" s="15" t="n"/>
      <c r="P15" s="15" t="n"/>
      <c r="Q15" s="15" t="n"/>
      <c r="R15" s="15" t="n"/>
      <c r="S15" s="15" t="n">
        <v>0.25</v>
      </c>
      <c r="T15" s="75" t="inlineStr">
        <is>
          <t>也可加车贷/学生贷。</t>
        </is>
      </c>
    </row>
    <row r="16" ht="23.25" customHeight="1" s="62">
      <c r="A16" s="15" t="inlineStr">
        <is>
          <t>REAL_DISP_INC</t>
        </is>
      </c>
      <c r="B16" s="15" t="inlineStr">
        <is>
          <t>D04</t>
        </is>
      </c>
      <c r="C16" s="75" t="inlineStr">
        <is>
          <t>实际可支配收入同比（%）</t>
        </is>
      </c>
      <c r="D16" s="15" t="inlineStr">
        <is>
          <t>%</t>
        </is>
      </c>
      <c r="E16" s="15" t="inlineStr">
        <is>
          <t>Monthly</t>
        </is>
      </c>
      <c r="F16" s="15" t="inlineStr">
        <is>
          <t>BEA/FRED</t>
        </is>
      </c>
      <c r="G16" s="15" t="inlineStr">
        <is>
          <t>https://fred.stlouisfed.org/series/DSPIC96</t>
        </is>
      </c>
      <c r="H16" s="15" t="inlineStr">
        <is>
          <t>DSPIC96</t>
        </is>
      </c>
      <c r="I16" s="15" t="inlineStr">
        <is>
          <t>Linear</t>
        </is>
      </c>
      <c r="J16" s="15" t="inlineStr">
        <is>
          <t>HigherBetter</t>
        </is>
      </c>
      <c r="K16" s="15" t="n">
        <v>4</v>
      </c>
      <c r="L16" s="15" t="n">
        <v>-4</v>
      </c>
      <c r="M16" s="15" t="n"/>
      <c r="N16" s="15" t="n"/>
      <c r="O16" s="15" t="n"/>
      <c r="P16" s="15" t="n"/>
      <c r="Q16" s="15" t="n"/>
      <c r="R16" s="15" t="n"/>
      <c r="S16" s="15" t="n">
        <v>0.15</v>
      </c>
      <c r="T16" s="75" t="inlineStr">
        <is>
          <t>用YoY变化需你在 Inputs 填值。</t>
        </is>
      </c>
    </row>
    <row r="17" ht="32.25" customHeight="1" s="62">
      <c r="A17" s="15" t="inlineStr">
        <is>
          <t>SPX_FWD_PE</t>
        </is>
      </c>
      <c r="B17" s="15" t="inlineStr">
        <is>
          <t>D05</t>
        </is>
      </c>
      <c r="C17" s="75" t="inlineStr">
        <is>
          <t>标普500 Forward P/E（x）</t>
        </is>
      </c>
      <c r="D17" s="15" t="inlineStr">
        <is>
          <t>x</t>
        </is>
      </c>
      <c r="E17" s="15" t="inlineStr">
        <is>
          <t>Weekly</t>
        </is>
      </c>
      <c r="F17" s="15" t="inlineStr">
        <is>
          <t>FactSet/S&amp;P</t>
        </is>
      </c>
      <c r="G17" s="15" t="inlineStr">
        <is>
          <t>(填你的数据源)</t>
        </is>
      </c>
      <c r="H17" s="15" t="inlineStr">
        <is>
          <t>FWD PE</t>
        </is>
      </c>
      <c r="I17" s="15" t="inlineStr">
        <is>
          <t>Linear</t>
        </is>
      </c>
      <c r="J17" s="15" t="inlineStr">
        <is>
          <t>LowerBetter</t>
        </is>
      </c>
      <c r="K17" s="15" t="n">
        <v>14</v>
      </c>
      <c r="L17" s="15" t="n">
        <v>28</v>
      </c>
      <c r="M17" s="15" t="n"/>
      <c r="N17" s="15" t="n"/>
      <c r="O17" s="15" t="n"/>
      <c r="P17" s="15" t="n"/>
      <c r="Q17" s="15" t="n"/>
      <c r="R17" s="15" t="n"/>
      <c r="S17" s="15" t="n">
        <v>0.3</v>
      </c>
      <c r="T17" s="75" t="inlineStr">
        <is>
          <t>若你无FactSet，可用公开估值替代。</t>
        </is>
      </c>
    </row>
    <row r="18" ht="32.25" customHeight="1" s="62">
      <c r="A18" s="15" t="inlineStr">
        <is>
          <t>EPS_REV_BREADTH</t>
        </is>
      </c>
      <c r="B18" s="15" t="inlineStr">
        <is>
          <t>D05</t>
        </is>
      </c>
      <c r="C18" s="15" t="inlineStr">
        <is>
          <t>EPS修正广度（上调-下调，%）</t>
        </is>
      </c>
      <c r="D18" s="15" t="inlineStr">
        <is>
          <t>%</t>
        </is>
      </c>
      <c r="E18" s="15" t="inlineStr">
        <is>
          <t>Weekly</t>
        </is>
      </c>
      <c r="F18" s="15" t="inlineStr">
        <is>
          <t>IBES/FactSet</t>
        </is>
      </c>
      <c r="G18" s="15" t="inlineStr">
        <is>
          <t>(填你的数据源)</t>
        </is>
      </c>
      <c r="H18" s="15" t="inlineStr">
        <is>
          <t>EPS rev</t>
        </is>
      </c>
      <c r="I18" s="15" t="inlineStr">
        <is>
          <t>Linear</t>
        </is>
      </c>
      <c r="J18" s="15" t="inlineStr">
        <is>
          <t>HigherBetter</t>
        </is>
      </c>
      <c r="K18" s="15" t="n">
        <v>30</v>
      </c>
      <c r="L18" s="15" t="n">
        <v>-30</v>
      </c>
      <c r="M18" s="15" t="n"/>
      <c r="N18" s="15" t="n"/>
      <c r="O18" s="15" t="n"/>
      <c r="P18" s="15" t="n"/>
      <c r="Q18" s="15" t="n"/>
      <c r="R18" s="15" t="n"/>
      <c r="S18" s="15" t="n">
        <v>0.35</v>
      </c>
      <c r="T18" s="75" t="inlineStr">
        <is>
          <t>无数据则先留空。</t>
        </is>
      </c>
    </row>
    <row r="19" ht="23.25" customHeight="1" s="62">
      <c r="A19" s="15" t="inlineStr">
        <is>
          <t>HY_OAS</t>
        </is>
      </c>
      <c r="B19" s="15" t="inlineStr">
        <is>
          <t>D05</t>
        </is>
      </c>
      <c r="C19" s="75" t="inlineStr">
        <is>
          <t>高收益信用利差OAS（bps）</t>
        </is>
      </c>
      <c r="D19" s="15" t="inlineStr">
        <is>
          <t>bps</t>
        </is>
      </c>
      <c r="E19" s="15" t="inlineStr">
        <is>
          <t>Daily</t>
        </is>
      </c>
      <c r="F19" s="15" t="inlineStr">
        <is>
          <t>FRED</t>
        </is>
      </c>
      <c r="G19" s="15" t="inlineStr">
        <is>
          <t>https://fred.stlouisfed.org/series/BAMLH0A0HYM2</t>
        </is>
      </c>
      <c r="H19" s="15" t="inlineStr">
        <is>
          <t>BAMLH0A0HYM2</t>
        </is>
      </c>
      <c r="I19" s="15" t="inlineStr">
        <is>
          <t>Linear</t>
        </is>
      </c>
      <c r="J19" s="15" t="inlineStr">
        <is>
          <t>LowerBetter</t>
        </is>
      </c>
      <c r="K19" s="15" t="n">
        <v>250</v>
      </c>
      <c r="L19" s="15" t="n">
        <v>900</v>
      </c>
      <c r="M19" s="15" t="n"/>
      <c r="N19" s="15" t="n"/>
      <c r="O19" s="15" t="n"/>
      <c r="P19" s="15" t="n"/>
      <c r="Q19" s="15" t="n"/>
      <c r="R19" s="15" t="n"/>
      <c r="S19" s="15" t="n">
        <v>0.35</v>
      </c>
      <c r="T19" s="75" t="inlineStr">
        <is>
          <t>信用压力核心指标。</t>
        </is>
      </c>
    </row>
    <row r="20" ht="23.25" customHeight="1" s="62">
      <c r="A20" s="15" t="inlineStr">
        <is>
          <t>MORTGAGE_30Y</t>
        </is>
      </c>
      <c r="B20" s="15" t="inlineStr">
        <is>
          <t>D06</t>
        </is>
      </c>
      <c r="C20" s="15" t="inlineStr">
        <is>
          <t>30年按揭利率（%）</t>
        </is>
      </c>
      <c r="D20" s="15" t="inlineStr">
        <is>
          <t>%</t>
        </is>
      </c>
      <c r="E20" s="15" t="inlineStr">
        <is>
          <t>Weekly</t>
        </is>
      </c>
      <c r="F20" s="15" t="inlineStr">
        <is>
          <t>Freddie Mac</t>
        </is>
      </c>
      <c r="G20" s="15" t="inlineStr">
        <is>
          <t>https://www.freddiemac.com/pmms</t>
        </is>
      </c>
      <c r="H20" s="15" t="inlineStr">
        <is>
          <t>PMMS</t>
        </is>
      </c>
      <c r="I20" s="15" t="inlineStr">
        <is>
          <t>Linear</t>
        </is>
      </c>
      <c r="J20" s="15" t="inlineStr">
        <is>
          <t>LowerBetter</t>
        </is>
      </c>
      <c r="K20" s="15" t="n">
        <v>3</v>
      </c>
      <c r="L20" s="15" t="n">
        <v>8.5</v>
      </c>
      <c r="M20" s="15" t="n"/>
      <c r="N20" s="15" t="n"/>
      <c r="O20" s="15" t="n"/>
      <c r="P20" s="15" t="n"/>
      <c r="Q20" s="15" t="n"/>
      <c r="R20" s="15" t="n"/>
      <c r="S20" s="15" t="n">
        <v>0.35</v>
      </c>
      <c r="T20" s="75" t="inlineStr">
        <is>
          <t>用PMMS周度。</t>
        </is>
      </c>
    </row>
    <row r="21" ht="16.5" customHeight="1" s="62">
      <c r="A21" s="15" t="inlineStr">
        <is>
          <t>EXIST_HOME_SALES</t>
        </is>
      </c>
      <c r="B21" s="15" t="inlineStr">
        <is>
          <t>D06</t>
        </is>
      </c>
      <c r="C21" s="75" t="inlineStr">
        <is>
          <t>成屋销售折年（百万套）</t>
        </is>
      </c>
      <c r="D21" s="15" t="inlineStr">
        <is>
          <t>M</t>
        </is>
      </c>
      <c r="E21" s="15" t="inlineStr">
        <is>
          <t>Monthly</t>
        </is>
      </c>
      <c r="F21" s="15" t="inlineStr">
        <is>
          <t>NAR</t>
        </is>
      </c>
      <c r="G21" s="15" t="inlineStr">
        <is>
          <t>https://www.nar.realtor/</t>
        </is>
      </c>
      <c r="H21" s="15" t="inlineStr">
        <is>
          <t>EHS</t>
        </is>
      </c>
      <c r="I21" s="15" t="inlineStr">
        <is>
          <t>Linear</t>
        </is>
      </c>
      <c r="J21" s="15" t="inlineStr">
        <is>
          <t>HigherBetter</t>
        </is>
      </c>
      <c r="K21" s="15" t="n">
        <v>6</v>
      </c>
      <c r="L21" s="15" t="n">
        <v>3</v>
      </c>
      <c r="M21" s="15" t="n"/>
      <c r="N21" s="15" t="n"/>
      <c r="O21" s="15" t="n"/>
      <c r="P21" s="15" t="n"/>
      <c r="Q21" s="15" t="n"/>
      <c r="R21" s="15" t="n"/>
      <c r="S21" s="15" t="n">
        <v>0.35</v>
      </c>
      <c r="T21" s="75" t="inlineStr">
        <is>
          <t>反映交易活跃度。</t>
        </is>
      </c>
    </row>
    <row r="22" ht="23.25" customHeight="1" s="62">
      <c r="A22" s="15" t="inlineStr">
        <is>
          <t>HOUSING_STARTS</t>
        </is>
      </c>
      <c r="B22" s="15" t="inlineStr">
        <is>
          <t>D06</t>
        </is>
      </c>
      <c r="C22" s="75" t="inlineStr">
        <is>
          <t>新屋开工（百万套）</t>
        </is>
      </c>
      <c r="D22" s="15" t="inlineStr">
        <is>
          <t>M</t>
        </is>
      </c>
      <c r="E22" s="15" t="inlineStr">
        <is>
          <t>Monthly</t>
        </is>
      </c>
      <c r="F22" s="15" t="inlineStr">
        <is>
          <t>Census/FRED</t>
        </is>
      </c>
      <c r="G22" s="15" t="inlineStr">
        <is>
          <t>https://fred.stlouisfed.org/series/HOUST</t>
        </is>
      </c>
      <c r="H22" s="15" t="inlineStr">
        <is>
          <t>HOUST</t>
        </is>
      </c>
      <c r="I22" s="15" t="inlineStr">
        <is>
          <t>Linear</t>
        </is>
      </c>
      <c r="J22" s="15" t="inlineStr">
        <is>
          <t>HigherBetter</t>
        </is>
      </c>
      <c r="K22" s="15" t="n">
        <v>1.8</v>
      </c>
      <c r="L22" s="15" t="n">
        <v>0.9</v>
      </c>
      <c r="M22" s="15" t="n"/>
      <c r="N22" s="15" t="n"/>
      <c r="O22" s="15" t="n"/>
      <c r="P22" s="15" t="n"/>
      <c r="Q22" s="15" t="n"/>
      <c r="R22" s="15" t="n"/>
      <c r="S22" s="15" t="n">
        <v>0.3</v>
      </c>
      <c r="T22" s="75" t="inlineStr">
        <is>
          <t>更前瞻。</t>
        </is>
      </c>
    </row>
    <row r="23" ht="23.25" customHeight="1" s="62">
      <c r="A23" s="15" t="inlineStr">
        <is>
          <t>VIX</t>
        </is>
      </c>
      <c r="B23" s="15" t="inlineStr">
        <is>
          <t>D07</t>
        </is>
      </c>
      <c r="C23" s="15" t="inlineStr">
        <is>
          <t>VIX</t>
        </is>
      </c>
      <c r="D23" s="15" t="inlineStr">
        <is>
          <t>index</t>
        </is>
      </c>
      <c r="E23" s="15" t="inlineStr">
        <is>
          <t>Daily</t>
        </is>
      </c>
      <c r="F23" s="15" t="inlineStr">
        <is>
          <t>CBOE/FRED</t>
        </is>
      </c>
      <c r="G23" s="15" t="inlineStr">
        <is>
          <t>https://fred.stlouisfed.org/series/VIXCLS</t>
        </is>
      </c>
      <c r="H23" s="15" t="inlineStr">
        <is>
          <t>VIXCLS</t>
        </is>
      </c>
      <c r="I23" s="15" t="inlineStr">
        <is>
          <t>Linear</t>
        </is>
      </c>
      <c r="J23" s="15" t="inlineStr">
        <is>
          <t>LowerBetter</t>
        </is>
      </c>
      <c r="K23" s="15" t="n">
        <v>12</v>
      </c>
      <c r="L23" s="15" t="n">
        <v>45</v>
      </c>
      <c r="M23" s="15" t="n"/>
      <c r="N23" s="15" t="n"/>
      <c r="O23" s="15" t="n"/>
      <c r="P23" s="15" t="n"/>
      <c r="Q23" s="15" t="n"/>
      <c r="R23" s="15" t="n"/>
      <c r="S23" s="15" t="n">
        <v>0.4</v>
      </c>
      <c r="T23" s="15" t="n"/>
    </row>
    <row r="24" ht="32.25" customHeight="1" s="62">
      <c r="A24" s="15" t="inlineStr">
        <is>
          <t>MOVE</t>
        </is>
      </c>
      <c r="B24" s="15" t="inlineStr">
        <is>
          <t>D07</t>
        </is>
      </c>
      <c r="C24" s="15" t="inlineStr">
        <is>
          <t>MOVE</t>
        </is>
      </c>
      <c r="D24" s="15" t="inlineStr">
        <is>
          <t>index</t>
        </is>
      </c>
      <c r="E24" s="15" t="inlineStr">
        <is>
          <t>Daily</t>
        </is>
      </c>
      <c r="F24" s="15" t="inlineStr">
        <is>
          <t>ICE</t>
        </is>
      </c>
      <c r="G24" s="15" t="inlineStr">
        <is>
          <t>(填你使用的MOVE来源)</t>
        </is>
      </c>
      <c r="H24" s="15" t="inlineStr">
        <is>
          <t>MOVE</t>
        </is>
      </c>
      <c r="I24" s="15" t="inlineStr">
        <is>
          <t>Linear</t>
        </is>
      </c>
      <c r="J24" s="15" t="inlineStr">
        <is>
          <t>LowerBetter</t>
        </is>
      </c>
      <c r="K24" s="15" t="n">
        <v>60</v>
      </c>
      <c r="L24" s="15" t="n">
        <v>160</v>
      </c>
      <c r="M24" s="15" t="n"/>
      <c r="N24" s="15" t="n"/>
      <c r="O24" s="15" t="n"/>
      <c r="P24" s="15" t="n"/>
      <c r="Q24" s="15" t="n"/>
      <c r="R24" s="15" t="n"/>
      <c r="S24" s="15" t="n">
        <v>0.35</v>
      </c>
      <c r="T24" s="75" t="inlineStr">
        <is>
          <t>可用公开报价源；确保口径一致。</t>
        </is>
      </c>
    </row>
    <row r="25" ht="32.25" customHeight="1" s="62">
      <c r="A25" s="15" t="inlineStr">
        <is>
          <t>SPX_DD_3M</t>
        </is>
      </c>
      <c r="B25" s="15" t="inlineStr">
        <is>
          <t>D07</t>
        </is>
      </c>
      <c r="C25" s="75" t="inlineStr">
        <is>
          <t>标普500近3个月最大回撤（%）</t>
        </is>
      </c>
      <c r="D25" s="15" t="inlineStr">
        <is>
          <t>%</t>
        </is>
      </c>
      <c r="E25" s="15" t="inlineStr">
        <is>
          <t>Daily</t>
        </is>
      </c>
      <c r="F25" s="15" t="inlineStr">
        <is>
          <t>User Calc</t>
        </is>
      </c>
      <c r="G25" s="15" t="inlineStr">
        <is>
          <t>(填你的来源)</t>
        </is>
      </c>
      <c r="H25" s="15" t="inlineStr">
        <is>
          <t>N/A</t>
        </is>
      </c>
      <c r="I25" s="15" t="inlineStr">
        <is>
          <t>Linear</t>
        </is>
      </c>
      <c r="J25" s="15" t="inlineStr">
        <is>
          <t>LowerBetter</t>
        </is>
      </c>
      <c r="K25" s="15" t="n">
        <v>0</v>
      </c>
      <c r="L25" s="15" t="n">
        <v>20</v>
      </c>
      <c r="M25" s="15" t="n"/>
      <c r="N25" s="15" t="n"/>
      <c r="O25" s="15" t="n"/>
      <c r="P25" s="15" t="n"/>
      <c r="Q25" s="15" t="n"/>
      <c r="R25" s="15" t="n"/>
      <c r="S25" s="15" t="n">
        <v>0.25</v>
      </c>
      <c r="T25" s="75" t="inlineStr">
        <is>
          <t>可选，用于风险状态。</t>
        </is>
      </c>
    </row>
    <row r="26" ht="32.25" customHeight="1" s="62">
      <c r="A26" s="15" t="inlineStr">
        <is>
          <t>DXY</t>
        </is>
      </c>
      <c r="B26" s="15" t="inlineStr">
        <is>
          <t>D08</t>
        </is>
      </c>
      <c r="C26" s="75" t="inlineStr">
        <is>
          <t>美元指数DXY</t>
        </is>
      </c>
      <c r="D26" s="15" t="inlineStr">
        <is>
          <t>index</t>
        </is>
      </c>
      <c r="E26" s="15" t="inlineStr">
        <is>
          <t>Daily</t>
        </is>
      </c>
      <c r="F26" s="15" t="inlineStr">
        <is>
          <t>ICE/公开行情</t>
        </is>
      </c>
      <c r="G26" s="15" t="inlineStr">
        <is>
          <t>(填你来源)</t>
        </is>
      </c>
      <c r="H26" s="15" t="inlineStr">
        <is>
          <t>DXY</t>
        </is>
      </c>
      <c r="I26" s="15" t="inlineStr">
        <is>
          <t>TargetBand</t>
        </is>
      </c>
      <c r="J26" s="15" t="inlineStr">
        <is>
          <t>TargetRange</t>
        </is>
      </c>
      <c r="K26" s="15" t="n"/>
      <c r="L26" s="15" t="n"/>
      <c r="M26" s="15" t="n">
        <v>85</v>
      </c>
      <c r="N26" s="15" t="n">
        <v>92</v>
      </c>
      <c r="O26" s="15" t="n">
        <v>102</v>
      </c>
      <c r="P26" s="15" t="n">
        <v>112</v>
      </c>
      <c r="Q26" s="15" t="n"/>
      <c r="R26" s="15" t="n"/>
      <c r="S26" s="15" t="n">
        <v>0.35</v>
      </c>
      <c r="T26" s="75" t="inlineStr">
        <is>
          <t>美元过强/过弱都可能带来问题。</t>
        </is>
      </c>
    </row>
    <row r="27" ht="32.25" customHeight="1" s="62">
      <c r="A27" s="15" t="inlineStr">
        <is>
          <t>US_JP_10Y_SPREAD</t>
        </is>
      </c>
      <c r="B27" s="15" t="inlineStr">
        <is>
          <t>D08</t>
        </is>
      </c>
      <c r="C27" s="75" t="inlineStr">
        <is>
          <t>美日10Y利差（bps）</t>
        </is>
      </c>
      <c r="D27" s="15" t="inlineStr">
        <is>
          <t>bps</t>
        </is>
      </c>
      <c r="E27" s="15" t="inlineStr">
        <is>
          <t>Daily</t>
        </is>
      </c>
      <c r="F27" s="15" t="inlineStr">
        <is>
          <t>FRED/BOJ</t>
        </is>
      </c>
      <c r="G27" s="15" t="inlineStr">
        <is>
          <t>(填你来源)</t>
        </is>
      </c>
      <c r="H27" s="15" t="inlineStr">
        <is>
          <t>N/A</t>
        </is>
      </c>
      <c r="I27" s="15" t="inlineStr">
        <is>
          <t>Linear</t>
        </is>
      </c>
      <c r="J27" s="15" t="inlineStr">
        <is>
          <t>HigherBetter</t>
        </is>
      </c>
      <c r="K27" s="15" t="n">
        <v>250</v>
      </c>
      <c r="L27" s="15" t="n">
        <v>0</v>
      </c>
      <c r="M27" s="15" t="n"/>
      <c r="N27" s="15" t="n"/>
      <c r="O27" s="15" t="n"/>
      <c r="P27" s="15" t="n"/>
      <c r="Q27" s="15" t="n"/>
      <c r="R27" s="15" t="n"/>
      <c r="S27" s="15" t="n">
        <v>0.35</v>
      </c>
      <c r="T27" s="75" t="inlineStr">
        <is>
          <t>利差过大=套息/汇率波动风险上升，方向可按策略调整。</t>
        </is>
      </c>
    </row>
    <row r="28" ht="32.25" customHeight="1" s="62">
      <c r="A28" s="15" t="inlineStr">
        <is>
          <t>CAPITAL_FLOWS</t>
        </is>
      </c>
      <c r="B28" s="15" t="inlineStr">
        <is>
          <t>D08</t>
        </is>
      </c>
      <c r="C28" s="75" t="inlineStr">
        <is>
          <t>海外净买入美国资产（自定义）</t>
        </is>
      </c>
      <c r="D28" s="15" t="inlineStr">
        <is>
          <t>$B</t>
        </is>
      </c>
      <c r="E28" s="15" t="inlineStr">
        <is>
          <t>Monthly</t>
        </is>
      </c>
      <c r="F28" s="15" t="inlineStr">
        <is>
          <t>Treasury TIC/EPFR</t>
        </is>
      </c>
      <c r="G28" s="15" t="inlineStr">
        <is>
          <t>(填你的来源)</t>
        </is>
      </c>
      <c r="H28" s="15" t="inlineStr">
        <is>
          <t>TIC/EPFR</t>
        </is>
      </c>
      <c r="I28" s="15" t="inlineStr">
        <is>
          <t>Linear</t>
        </is>
      </c>
      <c r="J28" s="15" t="inlineStr">
        <is>
          <t>HigherBetter</t>
        </is>
      </c>
      <c r="K28" s="15" t="n">
        <v>80</v>
      </c>
      <c r="L28" s="15" t="n">
        <v>-80</v>
      </c>
      <c r="M28" s="15" t="n"/>
      <c r="N28" s="15" t="n"/>
      <c r="O28" s="15" t="n"/>
      <c r="P28" s="15" t="n"/>
      <c r="Q28" s="15" t="n"/>
      <c r="R28" s="15" t="n"/>
      <c r="S28" s="15" t="n">
        <v>0.3</v>
      </c>
      <c r="T28" s="75" t="inlineStr">
        <is>
          <t>无数据可暂留空。</t>
        </is>
      </c>
    </row>
    <row r="29" ht="23.25" customHeight="1" s="62">
      <c r="A29" s="15" t="inlineStr">
        <is>
          <t>DEFICIT_GDP</t>
        </is>
      </c>
      <c r="B29" s="15" t="inlineStr">
        <is>
          <t>D09</t>
        </is>
      </c>
      <c r="C29" s="75" t="inlineStr">
        <is>
          <t>财政赤字/GDP（%）</t>
        </is>
      </c>
      <c r="D29" s="15" t="inlineStr">
        <is>
          <t>%</t>
        </is>
      </c>
      <c r="E29" s="15" t="inlineStr">
        <is>
          <t>Annual/Quarterly</t>
        </is>
      </c>
      <c r="F29" s="15" t="inlineStr">
        <is>
          <t>CBO</t>
        </is>
      </c>
      <c r="G29" s="15" t="inlineStr">
        <is>
          <t>https://www.cbo.gov/publication/62105</t>
        </is>
      </c>
      <c r="H29" s="15" t="inlineStr">
        <is>
          <t>CBO baseline</t>
        </is>
      </c>
      <c r="I29" s="15" t="inlineStr">
        <is>
          <t>Linear</t>
        </is>
      </c>
      <c r="J29" s="15" t="inlineStr">
        <is>
          <t>LowerBetter</t>
        </is>
      </c>
      <c r="K29" s="15" t="n">
        <v>2</v>
      </c>
      <c r="L29" s="15" t="n">
        <v>10</v>
      </c>
      <c r="M29" s="15" t="n"/>
      <c r="N29" s="15" t="n"/>
      <c r="O29" s="15" t="n"/>
      <c r="P29" s="15" t="n"/>
      <c r="Q29" s="15" t="n"/>
      <c r="R29" s="15" t="n"/>
      <c r="S29" s="15" t="n">
        <v>0.45</v>
      </c>
      <c r="T29" s="75" t="inlineStr">
        <is>
          <t>越低越可持续。</t>
        </is>
      </c>
    </row>
    <row r="30" ht="23.25" customHeight="1" s="62">
      <c r="A30" s="15" t="inlineStr">
        <is>
          <t>DEBT_GDP</t>
        </is>
      </c>
      <c r="B30" s="15" t="inlineStr">
        <is>
          <t>D09</t>
        </is>
      </c>
      <c r="C30" s="75" t="inlineStr">
        <is>
          <t>债务/GDP（%）</t>
        </is>
      </c>
      <c r="D30" s="15" t="inlineStr">
        <is>
          <t>%</t>
        </is>
      </c>
      <c r="E30" s="15" t="inlineStr">
        <is>
          <t>Annual</t>
        </is>
      </c>
      <c r="F30" s="15" t="inlineStr">
        <is>
          <t>CBO</t>
        </is>
      </c>
      <c r="G30" s="15" t="inlineStr">
        <is>
          <t>https://www.cbo.gov/publication/62105</t>
        </is>
      </c>
      <c r="H30" s="15" t="inlineStr">
        <is>
          <t>CBO baseline</t>
        </is>
      </c>
      <c r="I30" s="15" t="inlineStr">
        <is>
          <t>Linear</t>
        </is>
      </c>
      <c r="J30" s="15" t="inlineStr">
        <is>
          <t>LowerBetter</t>
        </is>
      </c>
      <c r="K30" s="15" t="n">
        <v>60</v>
      </c>
      <c r="L30" s="15" t="n">
        <v>140</v>
      </c>
      <c r="M30" s="15" t="n"/>
      <c r="N30" s="15" t="n"/>
      <c r="O30" s="15" t="n"/>
      <c r="P30" s="15" t="n"/>
      <c r="Q30" s="15" t="n"/>
      <c r="R30" s="15" t="n"/>
      <c r="S30" s="15" t="n">
        <v>0.3</v>
      </c>
      <c r="T30" s="15" t="n"/>
    </row>
    <row r="31" ht="16.5" customHeight="1" s="62">
      <c r="A31" s="15" t="inlineStr">
        <is>
          <t>INT_REV</t>
        </is>
      </c>
      <c r="B31" s="15" t="inlineStr">
        <is>
          <t>D09</t>
        </is>
      </c>
      <c r="C31" s="75" t="inlineStr">
        <is>
          <t>利息支出/财政收入（%）</t>
        </is>
      </c>
      <c r="D31" s="15" t="inlineStr">
        <is>
          <t>%</t>
        </is>
      </c>
      <c r="E31" s="15" t="inlineStr">
        <is>
          <t>Annual</t>
        </is>
      </c>
      <c r="F31" s="15" t="inlineStr">
        <is>
          <t>Treasury/CBO</t>
        </is>
      </c>
      <c r="G31" s="15" t="inlineStr">
        <is>
          <t>(填你的来源)</t>
        </is>
      </c>
      <c r="H31" s="15" t="inlineStr">
        <is>
          <t>N/A</t>
        </is>
      </c>
      <c r="I31" s="15" t="inlineStr">
        <is>
          <t>Linear</t>
        </is>
      </c>
      <c r="J31" s="15" t="inlineStr">
        <is>
          <t>LowerBetter</t>
        </is>
      </c>
      <c r="K31" s="15" t="n">
        <v>8</v>
      </c>
      <c r="L31" s="15" t="n">
        <v>25</v>
      </c>
      <c r="M31" s="15" t="n"/>
      <c r="N31" s="15" t="n"/>
      <c r="O31" s="15" t="n"/>
      <c r="P31" s="15" t="n"/>
      <c r="Q31" s="15" t="n"/>
      <c r="R31" s="15" t="n"/>
      <c r="S31" s="15" t="n">
        <v>0.25</v>
      </c>
      <c r="T31" s="75" t="inlineStr">
        <is>
          <t>强烈建议加入，体现财政挤出。</t>
        </is>
      </c>
    </row>
    <row r="32" ht="16.5" customHeight="1" s="62">
      <c r="A32" s="15" t="inlineStr">
        <is>
          <t>FCI</t>
        </is>
      </c>
      <c r="B32" s="15" t="inlineStr">
        <is>
          <t>D10</t>
        </is>
      </c>
      <c r="C32" s="75" t="inlineStr">
        <is>
          <t>金融条件指数（FCI）</t>
        </is>
      </c>
      <c r="D32" s="15" t="inlineStr">
        <is>
          <t>index</t>
        </is>
      </c>
      <c r="E32" s="15" t="inlineStr">
        <is>
          <t>Weekly</t>
        </is>
      </c>
      <c r="F32" s="15" t="inlineStr">
        <is>
          <t>GS/Chicago Fed</t>
        </is>
      </c>
      <c r="G32" s="15" t="inlineStr">
        <is>
          <t>(填你来源)</t>
        </is>
      </c>
      <c r="H32" s="15" t="inlineStr">
        <is>
          <t>FCI</t>
        </is>
      </c>
      <c r="I32" s="15" t="inlineStr">
        <is>
          <t>Linear</t>
        </is>
      </c>
      <c r="J32" s="15" t="inlineStr">
        <is>
          <t>LowerBetter</t>
        </is>
      </c>
      <c r="K32" s="15" t="n">
        <v>-1</v>
      </c>
      <c r="L32" s="15" t="n">
        <v>1.5</v>
      </c>
      <c r="M32" s="15" t="n"/>
      <c r="N32" s="15" t="n"/>
      <c r="O32" s="15" t="n"/>
      <c r="P32" s="15" t="n"/>
      <c r="Q32" s="15" t="n"/>
      <c r="R32" s="15" t="n"/>
      <c r="S32" s="15" t="n">
        <v>0.4</v>
      </c>
      <c r="T32" s="15" t="inlineStr">
        <is>
          <t>FCI越高越紧。</t>
        </is>
      </c>
    </row>
    <row r="33" ht="23.25" customHeight="1" s="62">
      <c r="A33" s="15" t="inlineStr">
        <is>
          <t>BANK_LENDING</t>
        </is>
      </c>
      <c r="B33" s="15" t="inlineStr">
        <is>
          <t>D10</t>
        </is>
      </c>
      <c r="C33" s="75" t="inlineStr">
        <is>
          <t>银行信贷增速（% YoY）</t>
        </is>
      </c>
      <c r="D33" s="15" t="inlineStr">
        <is>
          <t>%</t>
        </is>
      </c>
      <c r="E33" s="15" t="inlineStr">
        <is>
          <t>Weekly/Monthly</t>
        </is>
      </c>
      <c r="F33" s="15" t="inlineStr">
        <is>
          <t>Fed H.8</t>
        </is>
      </c>
      <c r="G33" s="15" t="inlineStr">
        <is>
          <t>(填你来源)</t>
        </is>
      </c>
      <c r="H33" s="15" t="inlineStr">
        <is>
          <t>H.8</t>
        </is>
      </c>
      <c r="I33" s="15" t="inlineStr">
        <is>
          <t>TargetBand</t>
        </is>
      </c>
      <c r="J33" s="15" t="inlineStr">
        <is>
          <t>TargetRange</t>
        </is>
      </c>
      <c r="K33" s="15" t="n"/>
      <c r="L33" s="15" t="n"/>
      <c r="M33" s="15" t="n">
        <v>-5</v>
      </c>
      <c r="N33" s="15" t="n">
        <v>2</v>
      </c>
      <c r="O33" s="15" t="n">
        <v>8</v>
      </c>
      <c r="P33" s="15" t="n">
        <v>15</v>
      </c>
      <c r="Q33" s="15" t="n"/>
      <c r="R33" s="15" t="n"/>
      <c r="S33" s="15" t="n">
        <v>0.35</v>
      </c>
      <c r="T33" s="75" t="inlineStr">
        <is>
          <t>过低=信用收缩。</t>
        </is>
      </c>
    </row>
    <row r="34" ht="23.25" customHeight="1" s="62">
      <c r="A34" s="15" t="inlineStr">
        <is>
          <t>TED_SPREAD</t>
        </is>
      </c>
      <c r="B34" s="15" t="inlineStr">
        <is>
          <t>D10</t>
        </is>
      </c>
      <c r="C34" s="15" t="inlineStr">
        <is>
          <t>TED利差（bps）</t>
        </is>
      </c>
      <c r="D34" s="15" t="inlineStr">
        <is>
          <t>bps</t>
        </is>
      </c>
      <c r="E34" s="15" t="inlineStr">
        <is>
          <t>Daily</t>
        </is>
      </c>
      <c r="F34" s="15" t="inlineStr">
        <is>
          <t>FRED</t>
        </is>
      </c>
      <c r="G34" s="15" t="inlineStr">
        <is>
          <t>https://fred.stlouisfed.org/series/TEDRATE</t>
        </is>
      </c>
      <c r="H34" s="15" t="inlineStr">
        <is>
          <t>TEDRATE</t>
        </is>
      </c>
      <c r="I34" s="15" t="inlineStr">
        <is>
          <t>Linear</t>
        </is>
      </c>
      <c r="J34" s="15" t="inlineStr">
        <is>
          <t>LowerBetter</t>
        </is>
      </c>
      <c r="K34" s="15" t="n">
        <v>20</v>
      </c>
      <c r="L34" s="15" t="n">
        <v>150</v>
      </c>
      <c r="M34" s="15" t="n"/>
      <c r="N34" s="15" t="n"/>
      <c r="O34" s="15" t="n"/>
      <c r="P34" s="15" t="n"/>
      <c r="Q34" s="15" t="n"/>
      <c r="R34" s="15" t="n"/>
      <c r="S34" s="15" t="n">
        <v>0.25</v>
      </c>
      <c r="T34" s="75" t="inlineStr">
        <is>
          <t>资金面压力信号。</t>
        </is>
      </c>
    </row>
    <row r="35" ht="32.25" customHeight="1" s="62">
      <c r="A35" s="15" t="inlineStr">
        <is>
          <t>WTI</t>
        </is>
      </c>
      <c r="B35" s="15" t="inlineStr">
        <is>
          <t>D11</t>
        </is>
      </c>
      <c r="C35" s="15" t="inlineStr">
        <is>
          <t>WTI原油（$/桶）</t>
        </is>
      </c>
      <c r="D35" s="15" t="inlineStr">
        <is>
          <t>$/bbl</t>
        </is>
      </c>
      <c r="E35" s="15" t="inlineStr">
        <is>
          <t>Daily</t>
        </is>
      </c>
      <c r="F35" s="15" t="inlineStr">
        <is>
          <t>NYMEX/公开行情</t>
        </is>
      </c>
      <c r="G35" s="15" t="inlineStr">
        <is>
          <t>(填你来源)</t>
        </is>
      </c>
      <c r="H35" s="15" t="inlineStr">
        <is>
          <t>WTI</t>
        </is>
      </c>
      <c r="I35" s="15" t="inlineStr">
        <is>
          <t>TargetBand</t>
        </is>
      </c>
      <c r="J35" s="15" t="inlineStr">
        <is>
          <t>TargetRange</t>
        </is>
      </c>
      <c r="K35" s="15" t="n"/>
      <c r="L35" s="15" t="n"/>
      <c r="M35" s="15" t="n">
        <v>30</v>
      </c>
      <c r="N35" s="15" t="n">
        <v>55</v>
      </c>
      <c r="O35" s="15" t="n">
        <v>85</v>
      </c>
      <c r="P35" s="15" t="n">
        <v>120</v>
      </c>
      <c r="Q35" s="15" t="n"/>
      <c r="R35" s="15" t="n"/>
      <c r="S35" s="15" t="n">
        <v>0.4</v>
      </c>
      <c r="T35" s="75" t="inlineStr">
        <is>
          <t>过高推通胀；过低或反映需求弱。</t>
        </is>
      </c>
    </row>
    <row r="36" ht="32.25" customHeight="1" s="62">
      <c r="A36" s="15" t="inlineStr">
        <is>
          <t>CRB</t>
        </is>
      </c>
      <c r="B36" s="15" t="inlineStr">
        <is>
          <t>D11</t>
        </is>
      </c>
      <c r="C36" s="75" t="inlineStr">
        <is>
          <t>大宗商品指数（CRB）同比（%）</t>
        </is>
      </c>
      <c r="D36" s="15" t="inlineStr">
        <is>
          <t>%</t>
        </is>
      </c>
      <c r="E36" s="15" t="inlineStr">
        <is>
          <t>Weekly</t>
        </is>
      </c>
      <c r="F36" s="15" t="inlineStr">
        <is>
          <t>Refinitiv/公开</t>
        </is>
      </c>
      <c r="G36" s="15" t="inlineStr">
        <is>
          <t>(填你来源)</t>
        </is>
      </c>
      <c r="H36" s="15" t="inlineStr">
        <is>
          <t>CRB</t>
        </is>
      </c>
      <c r="I36" s="15" t="inlineStr">
        <is>
          <t>TargetBand</t>
        </is>
      </c>
      <c r="J36" s="15" t="inlineStr">
        <is>
          <t>TargetRange</t>
        </is>
      </c>
      <c r="K36" s="15" t="n"/>
      <c r="L36" s="15" t="n"/>
      <c r="M36" s="15" t="n">
        <v>-20</v>
      </c>
      <c r="N36" s="15" t="n">
        <v>-5</v>
      </c>
      <c r="O36" s="15" t="n">
        <v>10</v>
      </c>
      <c r="P36" s="15" t="n">
        <v>30</v>
      </c>
      <c r="Q36" s="15" t="n"/>
      <c r="R36" s="15" t="n"/>
      <c r="S36" s="15" t="n">
        <v>0.3</v>
      </c>
      <c r="T36" s="75" t="inlineStr">
        <is>
          <t>需你填YoY变化。</t>
        </is>
      </c>
    </row>
    <row r="37" ht="34.5" customHeight="1" s="62">
      <c r="A37" s="15" t="inlineStr">
        <is>
          <t>GPR</t>
        </is>
      </c>
      <c r="B37" s="15" t="inlineStr">
        <is>
          <t>D11</t>
        </is>
      </c>
      <c r="C37" s="75" t="inlineStr">
        <is>
          <t>地缘政治风险指数（GPR）</t>
        </is>
      </c>
      <c r="D37" s="15" t="inlineStr">
        <is>
          <t>index</t>
        </is>
      </c>
      <c r="E37" s="15" t="inlineStr">
        <is>
          <t>Monthly</t>
        </is>
      </c>
      <c r="F37" s="15" t="inlineStr">
        <is>
          <t>Caldara &amp; Iacoviello</t>
        </is>
      </c>
      <c r="G37" s="15" t="inlineStr">
        <is>
          <t>https://www.matteoiacoviello.com/gpr.htm</t>
        </is>
      </c>
      <c r="H37" s="15" t="inlineStr">
        <is>
          <t>GPR</t>
        </is>
      </c>
      <c r="I37" s="15" t="inlineStr">
        <is>
          <t>Linear</t>
        </is>
      </c>
      <c r="J37" s="15" t="inlineStr">
        <is>
          <t>LowerBetter</t>
        </is>
      </c>
      <c r="K37" s="15" t="n">
        <v>80</v>
      </c>
      <c r="L37" s="15" t="n">
        <v>250</v>
      </c>
      <c r="M37" s="15" t="n"/>
      <c r="N37" s="15" t="n"/>
      <c r="O37" s="15" t="n"/>
      <c r="P37" s="15" t="n"/>
      <c r="Q37" s="15" t="n"/>
      <c r="R37" s="15" t="n"/>
      <c r="S37" s="15" t="n">
        <v>0.3</v>
      </c>
      <c r="T37" s="75" t="inlineStr">
        <is>
          <t>务必填具体数值，不要只写“低位”。</t>
        </is>
      </c>
    </row>
    <row r="38" ht="23.25" customHeight="1" s="62">
      <c r="A38" s="15" t="inlineStr">
        <is>
          <t>CB_CONS_CONF</t>
        </is>
      </c>
      <c r="B38" s="15" t="inlineStr">
        <is>
          <t>D12</t>
        </is>
      </c>
      <c r="C38" s="75" t="inlineStr">
        <is>
          <t>消费者信心指数</t>
        </is>
      </c>
      <c r="D38" s="15" t="inlineStr">
        <is>
          <t>index</t>
        </is>
      </c>
      <c r="E38" s="15" t="inlineStr">
        <is>
          <t>Monthly</t>
        </is>
      </c>
      <c r="F38" s="15" t="inlineStr">
        <is>
          <t>Conference Board</t>
        </is>
      </c>
      <c r="G38" s="15" t="inlineStr">
        <is>
          <t>https://www.conference-board.org/</t>
        </is>
      </c>
      <c r="H38" s="15" t="inlineStr">
        <is>
          <t>Consumer Confidence</t>
        </is>
      </c>
      <c r="I38" s="15" t="inlineStr">
        <is>
          <t>Linear</t>
        </is>
      </c>
      <c r="J38" s="15" t="inlineStr">
        <is>
          <t>HigherBetter</t>
        </is>
      </c>
      <c r="K38" s="15" t="n">
        <v>120</v>
      </c>
      <c r="L38" s="15" t="n">
        <v>60</v>
      </c>
      <c r="M38" s="15" t="n"/>
      <c r="N38" s="15" t="n"/>
      <c r="O38" s="15" t="n"/>
      <c r="P38" s="15" t="n"/>
      <c r="Q38" s="15" t="n"/>
      <c r="R38" s="15" t="n"/>
      <c r="S38" s="15" t="n">
        <v>0.45</v>
      </c>
      <c r="T38" s="15" t="n"/>
    </row>
    <row r="39" ht="34.5" customHeight="1" s="62">
      <c r="A39" s="15" t="inlineStr">
        <is>
          <t>CEO_CONF</t>
        </is>
      </c>
      <c r="B39" s="15" t="inlineStr">
        <is>
          <t>D12</t>
        </is>
      </c>
      <c r="C39" s="15" t="inlineStr">
        <is>
          <t>CEO Confidence</t>
        </is>
      </c>
      <c r="D39" s="15" t="inlineStr">
        <is>
          <t>index</t>
        </is>
      </c>
      <c r="E39" s="15" t="inlineStr">
        <is>
          <t>Quarterly</t>
        </is>
      </c>
      <c r="F39" s="15" t="inlineStr">
        <is>
          <t>Conference Board</t>
        </is>
      </c>
      <c r="G39" s="15" t="inlineStr">
        <is>
          <t>https://www.conference-board.org/topics/CEO-Confidence/</t>
        </is>
      </c>
      <c r="H39" s="15" t="inlineStr">
        <is>
          <t>CEO Confidence</t>
        </is>
      </c>
      <c r="I39" s="15" t="inlineStr">
        <is>
          <t>Linear</t>
        </is>
      </c>
      <c r="J39" s="15" t="inlineStr">
        <is>
          <t>HigherBetter</t>
        </is>
      </c>
      <c r="K39" s="15" t="n">
        <v>70</v>
      </c>
      <c r="L39" s="15" t="n">
        <v>35</v>
      </c>
      <c r="M39" s="15" t="n"/>
      <c r="N39" s="15" t="n"/>
      <c r="O39" s="15" t="n"/>
      <c r="P39" s="15" t="n"/>
      <c r="Q39" s="15" t="n"/>
      <c r="R39" s="15" t="n"/>
      <c r="S39" s="15" t="n">
        <v>0.35</v>
      </c>
      <c r="T39" s="15" t="inlineStr">
        <is>
          <t>&gt;50偏正面。</t>
        </is>
      </c>
    </row>
    <row r="40" ht="23.25" customHeight="1" s="62">
      <c r="A40" s="15" t="inlineStr">
        <is>
          <t>EPU</t>
        </is>
      </c>
      <c r="B40" s="15" t="inlineStr">
        <is>
          <t>D12</t>
        </is>
      </c>
      <c r="C40" s="75" t="inlineStr">
        <is>
          <t>经济政策不确定性（EPU）</t>
        </is>
      </c>
      <c r="D40" s="15" t="inlineStr">
        <is>
          <t>index</t>
        </is>
      </c>
      <c r="E40" s="15" t="inlineStr">
        <is>
          <t>Monthly</t>
        </is>
      </c>
      <c r="F40" s="15" t="inlineStr">
        <is>
          <t>policyuncertainty.com</t>
        </is>
      </c>
      <c r="G40" s="15" t="inlineStr">
        <is>
          <t>https://www.policyuncertainty.com/</t>
        </is>
      </c>
      <c r="H40" s="15" t="inlineStr">
        <is>
          <t>EPU</t>
        </is>
      </c>
      <c r="I40" s="15" t="inlineStr">
        <is>
          <t>Linear</t>
        </is>
      </c>
      <c r="J40" s="15" t="inlineStr">
        <is>
          <t>LowerBetter</t>
        </is>
      </c>
      <c r="K40" s="15" t="n">
        <v>80</v>
      </c>
      <c r="L40" s="15" t="n">
        <v>300</v>
      </c>
      <c r="M40" s="15" t="n"/>
      <c r="N40" s="15" t="n"/>
      <c r="O40" s="15" t="n"/>
      <c r="P40" s="15" t="n"/>
      <c r="Q40" s="15" t="n"/>
      <c r="R40" s="15" t="n"/>
      <c r="S40" s="15" t="n">
        <v>0.2</v>
      </c>
      <c r="T40" s="75" t="inlineStr">
        <is>
          <t>不确定性越高越差。</t>
        </is>
      </c>
    </row>
    <row r="41" ht="23.25" customHeight="1" s="62">
      <c r="A41" s="15" t="inlineStr">
        <is>
          <t>CLOUD_AI_GROWTH</t>
        </is>
      </c>
      <c r="B41" s="15" t="inlineStr">
        <is>
          <t>D13</t>
        </is>
      </c>
      <c r="C41" s="75" t="inlineStr">
        <is>
          <t>云业务增速（加权，% YoY）</t>
        </is>
      </c>
      <c r="D41" s="15" t="inlineStr">
        <is>
          <t>%</t>
        </is>
      </c>
      <c r="E41" s="15" t="inlineStr">
        <is>
          <t>Quarterly</t>
        </is>
      </c>
      <c r="F41" s="75" t="inlineStr">
        <is>
          <t>财报/主流媒体</t>
        </is>
      </c>
      <c r="G41" s="15" t="inlineStr">
        <is>
          <t>https://www.reuters.com/</t>
        </is>
      </c>
      <c r="H41" s="15" t="inlineStr">
        <is>
          <t>AWS/Azure growth</t>
        </is>
      </c>
      <c r="I41" s="15" t="inlineStr">
        <is>
          <t>Linear</t>
        </is>
      </c>
      <c r="J41" s="15" t="inlineStr">
        <is>
          <t>HigherBetter</t>
        </is>
      </c>
      <c r="K41" s="15" t="n">
        <v>35</v>
      </c>
      <c r="L41" s="15" t="n">
        <v>0</v>
      </c>
      <c r="M41" s="15" t="n"/>
      <c r="N41" s="15" t="n"/>
      <c r="O41" s="15" t="n"/>
      <c r="P41" s="15" t="n"/>
      <c r="Q41" s="15" t="n"/>
      <c r="R41" s="15" t="n"/>
      <c r="S41" s="15" t="n">
        <v>0.5</v>
      </c>
      <c r="T41" s="75" t="inlineStr">
        <is>
          <t>可用AWS+Azure+GCP加权。</t>
        </is>
      </c>
    </row>
    <row r="42" ht="16.5" customHeight="1" s="62">
      <c r="A42" s="15" t="inlineStr">
        <is>
          <t>AI_CAPEX_GUIDE</t>
        </is>
      </c>
      <c r="B42" s="15" t="inlineStr">
        <is>
          <t>D13</t>
        </is>
      </c>
      <c r="C42" s="15" t="inlineStr">
        <is>
          <t>AI相关Capex指引（自定义）</t>
        </is>
      </c>
      <c r="D42" s="15" t="inlineStr">
        <is>
          <t>index</t>
        </is>
      </c>
      <c r="E42" s="15" t="inlineStr">
        <is>
          <t>Quarterly</t>
        </is>
      </c>
      <c r="F42" s="75" t="inlineStr">
        <is>
          <t>财报</t>
        </is>
      </c>
      <c r="G42" s="15" t="inlineStr">
        <is>
          <t>(填你来源)</t>
        </is>
      </c>
      <c r="H42" s="15" t="inlineStr">
        <is>
          <t>N/A</t>
        </is>
      </c>
      <c r="I42" s="15" t="inlineStr">
        <is>
          <t>Linear</t>
        </is>
      </c>
      <c r="J42" s="15" t="inlineStr">
        <is>
          <t>HigherBetter</t>
        </is>
      </c>
      <c r="K42" s="15" t="n">
        <v>1</v>
      </c>
      <c r="L42" s="15" t="n">
        <v>-1</v>
      </c>
      <c r="M42" s="15" t="n"/>
      <c r="N42" s="15" t="n"/>
      <c r="O42" s="15" t="n"/>
      <c r="P42" s="15" t="n"/>
      <c r="Q42" s="15" t="n"/>
      <c r="R42" s="15" t="n"/>
      <c r="S42" s="15" t="n">
        <v>0.3</v>
      </c>
      <c r="T42" s="75" t="inlineStr">
        <is>
          <t>将指引上修/下修编码为指数。</t>
        </is>
      </c>
    </row>
    <row r="43" ht="32.25" customHeight="1" s="62">
      <c r="A43" s="15" t="inlineStr">
        <is>
          <t>SEMI_BOOK_BILL</t>
        </is>
      </c>
      <c r="B43" s="15" t="inlineStr">
        <is>
          <t>D13</t>
        </is>
      </c>
      <c r="C43" s="75" t="inlineStr">
        <is>
          <t>半导体景气代理（Book-to-Bill）</t>
        </is>
      </c>
      <c r="D43" s="15" t="inlineStr">
        <is>
          <t>ratio</t>
        </is>
      </c>
      <c r="E43" s="15" t="inlineStr">
        <is>
          <t>Monthly</t>
        </is>
      </c>
      <c r="F43" s="15" t="inlineStr">
        <is>
          <t>SIA/SEMI</t>
        </is>
      </c>
      <c r="G43" s="15" t="inlineStr">
        <is>
          <t>(填你来源)</t>
        </is>
      </c>
      <c r="H43" s="15" t="inlineStr">
        <is>
          <t>N/A</t>
        </is>
      </c>
      <c r="I43" s="15" t="inlineStr">
        <is>
          <t>TargetBand</t>
        </is>
      </c>
      <c r="J43" s="15" t="inlineStr">
        <is>
          <t>TargetRange</t>
        </is>
      </c>
      <c r="K43" s="15" t="n"/>
      <c r="L43" s="15" t="n"/>
      <c r="M43" s="15" t="n">
        <v>0.8</v>
      </c>
      <c r="N43" s="15" t="n">
        <v>1</v>
      </c>
      <c r="O43" s="15" t="n">
        <v>1.2</v>
      </c>
      <c r="P43" s="15" t="n">
        <v>1.4</v>
      </c>
      <c r="Q43" s="15" t="n"/>
      <c r="R43" s="15" t="n"/>
      <c r="S43" s="15" t="n">
        <v>0.2</v>
      </c>
      <c r="T43" s="75" t="inlineStr">
        <is>
          <t>无则留空。</t>
        </is>
      </c>
    </row>
    <row r="44" ht="32.25" customHeight="1" s="62">
      <c r="A44" s="15" t="inlineStr">
        <is>
          <t>BTC</t>
        </is>
      </c>
      <c r="B44" s="15" t="inlineStr">
        <is>
          <t>D14</t>
        </is>
      </c>
      <c r="C44" s="15" t="inlineStr">
        <is>
          <t>BTC价格（$）</t>
        </is>
      </c>
      <c r="D44" s="15" t="inlineStr">
        <is>
          <t>$</t>
        </is>
      </c>
      <c r="E44" s="15" t="inlineStr">
        <is>
          <t>Daily</t>
        </is>
      </c>
      <c r="F44" s="15" t="inlineStr">
        <is>
          <t>CoinMarketCap</t>
        </is>
      </c>
      <c r="G44" s="15" t="inlineStr">
        <is>
          <t>https://coinmarketcap.com/currencies/bitcoin/</t>
        </is>
      </c>
      <c r="H44" s="15" t="inlineStr">
        <is>
          <t>BTC</t>
        </is>
      </c>
      <c r="I44" s="15" t="inlineStr">
        <is>
          <t>Linear</t>
        </is>
      </c>
      <c r="J44" s="15" t="inlineStr">
        <is>
          <t>HigherBetter</t>
        </is>
      </c>
      <c r="K44" s="15" t="n">
        <v>120000</v>
      </c>
      <c r="L44" s="15" t="n">
        <v>20000</v>
      </c>
      <c r="M44" s="15" t="n"/>
      <c r="N44" s="15" t="n"/>
      <c r="O44" s="15" t="n"/>
      <c r="P44" s="15" t="n"/>
      <c r="Q44" s="15" t="n"/>
      <c r="R44" s="15" t="n"/>
      <c r="S44" s="15" t="n">
        <v>0.4</v>
      </c>
      <c r="T44" s="75" t="inlineStr">
        <is>
          <t>更合理是用趋势/波动而非绝对价。</t>
        </is>
      </c>
    </row>
    <row r="45" ht="23.25" customHeight="1" s="62">
      <c r="A45" s="15" t="inlineStr">
        <is>
          <t>USDC_MCAP</t>
        </is>
      </c>
      <c r="B45" s="15" t="inlineStr">
        <is>
          <t>D14</t>
        </is>
      </c>
      <c r="C45" s="15" t="inlineStr">
        <is>
          <t>USDC市值（$B）</t>
        </is>
      </c>
      <c r="D45" s="15" t="inlineStr">
        <is>
          <t>$B</t>
        </is>
      </c>
      <c r="E45" s="15" t="inlineStr">
        <is>
          <t>Daily</t>
        </is>
      </c>
      <c r="F45" s="15" t="inlineStr">
        <is>
          <t>CoinMarketCap</t>
        </is>
      </c>
      <c r="G45" s="15" t="inlineStr">
        <is>
          <t>https://coinmarketcap.com/currencies/usd-coin/</t>
        </is>
      </c>
      <c r="H45" s="15" t="inlineStr">
        <is>
          <t>USDC</t>
        </is>
      </c>
      <c r="I45" s="15" t="inlineStr">
        <is>
          <t>Linear</t>
        </is>
      </c>
      <c r="J45" s="15" t="inlineStr">
        <is>
          <t>HigherBetter</t>
        </is>
      </c>
      <c r="K45" s="15" t="n">
        <v>120</v>
      </c>
      <c r="L45" s="15" t="n">
        <v>20</v>
      </c>
      <c r="M45" s="15" t="n"/>
      <c r="N45" s="15" t="n"/>
      <c r="O45" s="15" t="n"/>
      <c r="P45" s="15" t="n"/>
      <c r="Q45" s="15" t="n"/>
      <c r="R45" s="15" t="n"/>
      <c r="S45" s="15" t="n">
        <v>0.4</v>
      </c>
      <c r="T45" s="75" t="inlineStr">
        <is>
          <t>稳定币扩张是链上流动性信号。</t>
        </is>
      </c>
    </row>
    <row r="46" ht="23.25" customHeight="1" s="62">
      <c r="A46" s="15" t="inlineStr">
        <is>
          <t>STABLECOIN_DOM</t>
        </is>
      </c>
      <c r="B46" s="15" t="inlineStr">
        <is>
          <t>D14</t>
        </is>
      </c>
      <c r="C46" s="75" t="inlineStr">
        <is>
          <t>稳定币总市值（$B）</t>
        </is>
      </c>
      <c r="D46" s="15" t="inlineStr">
        <is>
          <t>$B</t>
        </is>
      </c>
      <c r="E46" s="15" t="inlineStr">
        <is>
          <t>Daily</t>
        </is>
      </c>
      <c r="F46" s="15" t="inlineStr">
        <is>
          <t>CoinMarketCap</t>
        </is>
      </c>
      <c r="G46" s="15" t="inlineStr">
        <is>
          <t>https://coinmarketcap.com/view/stablecoin/</t>
        </is>
      </c>
      <c r="H46" s="15" t="inlineStr">
        <is>
          <t>Stablecoins</t>
        </is>
      </c>
      <c r="I46" s="15" t="inlineStr">
        <is>
          <t>Linear</t>
        </is>
      </c>
      <c r="J46" s="15" t="inlineStr">
        <is>
          <t>HigherBetter</t>
        </is>
      </c>
      <c r="K46" s="15" t="n">
        <v>350</v>
      </c>
      <c r="L46" s="15" t="n">
        <v>120</v>
      </c>
      <c r="M46" s="15" t="n"/>
      <c r="N46" s="15" t="n"/>
      <c r="O46" s="15" t="n"/>
      <c r="P46" s="15" t="n"/>
      <c r="Q46" s="15" t="n"/>
      <c r="R46" s="15" t="n"/>
      <c r="S46" s="15" t="n">
        <v>0.2</v>
      </c>
      <c r="T46" s="75" t="inlineStr">
        <is>
          <t>若无总市值可暂空。</t>
        </is>
      </c>
    </row>
  </sheetData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5B9BD5"/>
    <outlinePr summaryBelow="1" summaryRight="1"/>
    <pageSetUpPr/>
  </sheetPr>
  <dimension ref="A1:E51"/>
  <sheetViews>
    <sheetView showGridLines="0" zoomScaleNormal="100" workbookViewId="0">
      <pane ySplit="6" topLeftCell="A7" activePane="bottomLeft" state="frozen"/>
      <selection pane="bottomLeft" activeCell="A1" sqref="A1"/>
    </sheetView>
  </sheetViews>
  <sheetFormatPr baseColWidth="10" defaultColWidth="8.6640625" defaultRowHeight="15" customHeight="1"/>
  <cols>
    <col width="20" customWidth="1" style="62" min="1" max="1"/>
    <col width="14" customWidth="1" style="62" min="2" max="2"/>
    <col width="12" customWidth="1" style="62" min="3" max="4"/>
    <col width="36" customWidth="1" style="62" min="5" max="5"/>
  </cols>
  <sheetData>
    <row r="1" ht="21" customHeight="1" s="62">
      <c r="A1" s="79" t="inlineStr">
        <is>
          <t>Inputs（填最新值）</t>
        </is>
      </c>
      <c r="B1" s="74" t="n"/>
      <c r="C1" s="74" t="n"/>
      <c r="D1" s="74" t="n"/>
      <c r="E1" s="74" t="n"/>
    </row>
    <row r="2" ht="16.5" customHeight="1" s="62">
      <c r="A2" s="29" t="inlineStr">
        <is>
          <t>AsOf（模型更新日期）</t>
        </is>
      </c>
      <c r="B2" s="30" t="inlineStr">
        <is>
          <t>2026-10-22</t>
        </is>
      </c>
      <c r="C2" s="31" t="n"/>
      <c r="D2" s="31" t="n"/>
      <c r="E2" s="31" t="n"/>
    </row>
    <row r="3" ht="15" customHeight="1" s="62">
      <c r="A3" s="31" t="n"/>
      <c r="B3" s="31" t="n"/>
      <c r="C3" s="31" t="n"/>
      <c r="D3" s="31" t="n"/>
      <c r="E3" s="31" t="n"/>
    </row>
    <row r="4" ht="63.75" customHeight="1" s="62">
      <c r="A4" s="75" t="inlineStr">
        <is>
          <t>蓝色单元格为输入。IndicatorCode 建议用下拉选择，避免拼写错误。</t>
        </is>
      </c>
      <c r="B4" s="31" t="n"/>
      <c r="C4" s="31" t="n"/>
      <c r="D4" s="31" t="n"/>
      <c r="E4" s="31" t="n"/>
    </row>
    <row r="5" ht="15" customHeight="1" s="62">
      <c r="A5" s="31" t="n"/>
      <c r="B5" s="31" t="n"/>
      <c r="C5" s="31" t="n"/>
      <c r="D5" s="31" t="n"/>
      <c r="E5" s="31" t="n"/>
    </row>
    <row r="6" ht="15" customHeight="1" s="62">
      <c r="A6" s="25" t="inlineStr">
        <is>
          <t>IndicatorCode</t>
        </is>
      </c>
      <c r="B6" s="25" t="inlineStr">
        <is>
          <t>LatestValue</t>
        </is>
      </c>
      <c r="C6" s="25" t="inlineStr">
        <is>
          <t>ValueDate</t>
        </is>
      </c>
      <c r="D6" s="25" t="inlineStr">
        <is>
          <t>SourceDate</t>
        </is>
      </c>
      <c r="E6" s="25" t="inlineStr">
        <is>
          <t>Notes</t>
        </is>
      </c>
    </row>
    <row r="7" ht="32.25" customHeight="1" s="62">
      <c r="A7" s="32" t="inlineStr">
        <is>
          <t>YC_10Y3M</t>
        </is>
      </c>
      <c r="B7" s="33" t="n">
        <v>50</v>
      </c>
      <c r="C7" s="34" t="inlineStr">
        <is>
          <t>2026-03-11</t>
        </is>
      </c>
      <c r="D7" s="34" t="inlineStr">
        <is>
          <t>2026-03-13</t>
        </is>
      </c>
      <c r="E7" s="35" t="inlineStr">
        <is>
          <t>样例值，接近 2026-02-26 官方收益率差（10Y≈4.02%, 3M≈3.68%）。</t>
        </is>
      </c>
    </row>
    <row r="8" ht="32.25" customHeight="1" s="62">
      <c r="A8" s="32" t="inlineStr">
        <is>
          <t>SOFR</t>
        </is>
      </c>
      <c r="B8" s="33" t="n">
        <v>3.64</v>
      </c>
      <c r="C8" s="34" t="inlineStr">
        <is>
          <t>2026-03-11</t>
        </is>
      </c>
      <c r="D8" s="34" t="inlineStr">
        <is>
          <t>2026-03-13</t>
        </is>
      </c>
      <c r="E8" s="35" t="inlineStr">
        <is>
          <t>演示样例值；请用你自己的权威数据源替换。</t>
        </is>
      </c>
    </row>
    <row r="9" ht="32.25" customHeight="1" s="62">
      <c r="A9" s="32" t="inlineStr">
        <is>
          <t>FED_ASSETS</t>
        </is>
      </c>
      <c r="B9" s="33" t="n">
        <v>6.6463</v>
      </c>
      <c r="C9" s="34" t="inlineStr">
        <is>
          <t>2026-03-11</t>
        </is>
      </c>
      <c r="D9" s="34" t="inlineStr">
        <is>
          <t>2026-03-13</t>
        </is>
      </c>
      <c r="E9" s="35" t="inlineStr">
        <is>
          <t>演示样例值；请用你自己的权威数据源替换。</t>
        </is>
      </c>
    </row>
    <row r="10" ht="32.25" customHeight="1" s="62">
      <c r="A10" s="32" t="inlineStr">
        <is>
          <t>NET_LIQ_PROXY</t>
        </is>
      </c>
      <c r="B10" s="33" t="n">
        <v>-831.5398</v>
      </c>
      <c r="C10" s="34" t="inlineStr">
        <is>
          <t>2026-03-12</t>
        </is>
      </c>
      <c r="D10" s="34" t="inlineStr">
        <is>
          <t>2026-03-13</t>
        </is>
      </c>
      <c r="E10" s="35" t="inlineStr">
        <is>
          <t>演示样例值；请用你自己的权威数据源替换。</t>
        </is>
      </c>
    </row>
    <row r="11" ht="32.25" customHeight="1" s="62">
      <c r="A11" s="32" t="inlineStr">
        <is>
          <t>GDP_QOQ_SAAR</t>
        </is>
      </c>
      <c r="B11" s="33" t="n">
        <v>1.4</v>
      </c>
      <c r="C11" s="34" t="inlineStr">
        <is>
          <t>2025-10-01</t>
        </is>
      </c>
      <c r="D11" s="34" t="inlineStr">
        <is>
          <t>2026-03-13</t>
        </is>
      </c>
      <c r="E11" s="35" t="inlineStr">
        <is>
          <t>样例值，对应 BEA 2025Q4 实际GDP环比折年 1.4%。</t>
        </is>
      </c>
    </row>
    <row r="12" ht="32.25" customHeight="1" s="62">
      <c r="A12" s="32" t="inlineStr">
        <is>
          <t>PMI_MAN</t>
        </is>
      </c>
      <c r="B12" s="33" t="n">
        <v>52.5</v>
      </c>
      <c r="C12" s="34" t="inlineStr">
        <is>
          <t>2026-03-01</t>
        </is>
      </c>
      <c r="D12" s="34" t="inlineStr">
        <is>
          <t>2026-03-01</t>
        </is>
      </c>
      <c r="E12" s="35" t="inlineStr">
        <is>
          <t>演示样例值；请用你自己的权威数据源替换。</t>
        </is>
      </c>
    </row>
    <row r="13" ht="32.25" customHeight="1" s="62">
      <c r="A13" s="32" t="inlineStr">
        <is>
          <t>CLAIMS_4WMA</t>
        </is>
      </c>
      <c r="B13" s="33" t="n">
        <v>212000</v>
      </c>
      <c r="C13" s="34" t="inlineStr">
        <is>
          <t>2026-03-07</t>
        </is>
      </c>
      <c r="D13" s="34" t="inlineStr">
        <is>
          <t>2026-03-13</t>
        </is>
      </c>
      <c r="E13" s="35" t="inlineStr">
        <is>
          <t>演示样例值；请用你自己的权威数据源替换。</t>
        </is>
      </c>
    </row>
    <row r="14" ht="32.25" customHeight="1" s="62">
      <c r="A14" s="32" t="inlineStr">
        <is>
          <t>LEI</t>
        </is>
      </c>
      <c r="B14" s="33" t="n">
        <v>-0.8</v>
      </c>
      <c r="C14" s="34" t="inlineStr">
        <is>
          <t>2026-03-01</t>
        </is>
      </c>
      <c r="D14" s="34" t="inlineStr">
        <is>
          <t>2026-03-01</t>
        </is>
      </c>
      <c r="E14" s="35" t="inlineStr">
        <is>
          <t>演示样例值；请用你自己的权威数据源替换。</t>
        </is>
      </c>
    </row>
    <row r="15" ht="32.25" customHeight="1" s="62">
      <c r="A15" s="32" t="inlineStr">
        <is>
          <t>CORE_CPI_YOY</t>
        </is>
      </c>
      <c r="B15" s="33" t="n">
        <v>2.7335</v>
      </c>
      <c r="C15" s="34" t="inlineStr">
        <is>
          <t>2026-02-01</t>
        </is>
      </c>
      <c r="D15" s="34" t="inlineStr">
        <is>
          <t>2026-03-13</t>
        </is>
      </c>
      <c r="E15" s="35" t="inlineStr">
        <is>
          <t>样例值，对应 2026年1月核心CPI同比 2.5%。</t>
        </is>
      </c>
    </row>
    <row r="16" ht="32.25" customHeight="1" s="62">
      <c r="A16" s="32" t="inlineStr">
        <is>
          <t>CORE_PCE_YOY</t>
        </is>
      </c>
      <c r="B16" s="33" t="n">
        <v>2.9969</v>
      </c>
      <c r="C16" s="34" t="inlineStr">
        <is>
          <t>2025-12-01</t>
        </is>
      </c>
      <c r="D16" s="34" t="inlineStr">
        <is>
          <t>2026-03-13</t>
        </is>
      </c>
      <c r="E16" s="35" t="inlineStr">
        <is>
          <t>演示样例值；请用你自己的权威数据源替换。</t>
        </is>
      </c>
    </row>
    <row r="17" ht="32.25" customHeight="1" s="62">
      <c r="A17" s="32" t="inlineStr">
        <is>
          <t>BREAKEVEN_5Y5Y</t>
        </is>
      </c>
      <c r="B17" s="33" t="n">
        <v>2.13</v>
      </c>
      <c r="C17" s="34" t="inlineStr">
        <is>
          <t>2026-03-12</t>
        </is>
      </c>
      <c r="D17" s="34" t="inlineStr">
        <is>
          <t>2026-03-13</t>
        </is>
      </c>
      <c r="E17" s="35" t="inlineStr">
        <is>
          <t>演示样例值；请用你自己的权威数据源替换。</t>
        </is>
      </c>
    </row>
    <row r="18" ht="16.5" customHeight="1" s="62">
      <c r="A18" s="32" t="inlineStr">
        <is>
          <t>UNRATE</t>
        </is>
      </c>
      <c r="B18" s="33" t="n">
        <v>4.4</v>
      </c>
      <c r="C18" s="34" t="inlineStr">
        <is>
          <t>2026-02-01</t>
        </is>
      </c>
      <c r="D18" s="34" t="inlineStr">
        <is>
          <t>2026-03-13</t>
        </is>
      </c>
      <c r="E18" s="35" t="inlineStr">
        <is>
          <t>样例值，对应 2026年1月失业率 4.3%。</t>
        </is>
      </c>
    </row>
    <row r="19" ht="32.25" customHeight="1" s="62">
      <c r="A19" s="32" t="inlineStr">
        <is>
          <t>WAGE_GROWTH</t>
        </is>
      </c>
      <c r="B19" s="33" t="n">
        <v>3.8397</v>
      </c>
      <c r="C19" s="34" t="inlineStr">
        <is>
          <t>2026-02-01</t>
        </is>
      </c>
      <c r="D19" s="34" t="inlineStr">
        <is>
          <t>2026-03-13</t>
        </is>
      </c>
      <c r="E19" s="35" t="inlineStr">
        <is>
          <t>演示样例值；请用你自己的权威数据源替换。</t>
        </is>
      </c>
    </row>
    <row r="20" ht="32.25" customHeight="1" s="62">
      <c r="A20" s="32" t="inlineStr">
        <is>
          <t>CC_DELINQ</t>
        </is>
      </c>
      <c r="B20" s="33" t="n">
        <v>2.94</v>
      </c>
      <c r="C20" s="34" t="inlineStr">
        <is>
          <t>2025-10-01</t>
        </is>
      </c>
      <c r="D20" s="34" t="inlineStr">
        <is>
          <t>2026-03-13</t>
        </is>
      </c>
      <c r="E20" s="35" t="inlineStr">
        <is>
          <t>演示样例值；请用你自己的权威数据源替换。</t>
        </is>
      </c>
    </row>
    <row r="21" ht="32.25" customHeight="1" s="62">
      <c r="A21" s="32" t="inlineStr">
        <is>
          <t>REAL_DISP_INC</t>
        </is>
      </c>
      <c r="B21" s="33" t="n">
        <v>0.9195</v>
      </c>
      <c r="C21" s="34" t="inlineStr">
        <is>
          <t>2025-12-01</t>
        </is>
      </c>
      <c r="D21" s="34" t="inlineStr">
        <is>
          <t>2026-03-13</t>
        </is>
      </c>
      <c r="E21" s="35" t="inlineStr">
        <is>
          <t>演示样例值；请用你自己的权威数据源替换。</t>
        </is>
      </c>
    </row>
    <row r="22" ht="32.25" customHeight="1" s="62">
      <c r="A22" s="32" t="inlineStr">
        <is>
          <t>SPX_FWD_PE</t>
        </is>
      </c>
      <c r="B22" s="33" t="n">
        <v>22.17</v>
      </c>
      <c r="C22" s="34" t="inlineStr">
        <is>
          <t>2026-03-01</t>
        </is>
      </c>
      <c r="D22" s="34" t="inlineStr">
        <is>
          <t>2026-03-01</t>
        </is>
      </c>
      <c r="E22" s="35" t="inlineStr">
        <is>
          <t>演示样例值；请用你自己的权威数据源替换。</t>
        </is>
      </c>
    </row>
    <row r="23" ht="32.25" customHeight="1" s="62">
      <c r="A23" s="32" t="inlineStr">
        <is>
          <t>EPS_REV_BREADTH</t>
        </is>
      </c>
      <c r="B23" s="33" t="n">
        <v>-8</v>
      </c>
      <c r="C23" s="34" t="inlineStr">
        <is>
          <t>2026-03-01</t>
        </is>
      </c>
      <c r="D23" s="34" t="inlineStr">
        <is>
          <t>2026-03-01</t>
        </is>
      </c>
      <c r="E23" s="35" t="inlineStr">
        <is>
          <t>演示样例值；请用你自己的权威数据源替换。</t>
        </is>
      </c>
    </row>
    <row r="24" ht="32.25" customHeight="1" s="62">
      <c r="A24" s="32" t="inlineStr">
        <is>
          <t>HY_OAS</t>
        </is>
      </c>
      <c r="B24" s="33" t="n">
        <v>309</v>
      </c>
      <c r="C24" s="34" t="inlineStr">
        <is>
          <t>2026-03-11</t>
        </is>
      </c>
      <c r="D24" s="34" t="inlineStr">
        <is>
          <t>2026-03-13</t>
        </is>
      </c>
      <c r="E24" s="35" t="inlineStr">
        <is>
          <t>演示样例值；请用你自己的权威数据源替换。</t>
        </is>
      </c>
    </row>
    <row r="25" ht="32.25" customHeight="1" s="62">
      <c r="A25" s="32" t="inlineStr">
        <is>
          <t>MORTGAGE_30Y</t>
        </is>
      </c>
      <c r="B25" s="33" t="n">
        <v>6.11</v>
      </c>
      <c r="C25" s="34" t="inlineStr">
        <is>
          <t>2026-03-12</t>
        </is>
      </c>
      <c r="D25" s="34" t="inlineStr">
        <is>
          <t>2026-03-13</t>
        </is>
      </c>
      <c r="E25" s="35" t="inlineStr">
        <is>
          <t>样例值，对应 Freddie Mac 2026-02-26 30Y FRM 5.98%。</t>
        </is>
      </c>
    </row>
    <row r="26" ht="32.25" customHeight="1" s="62">
      <c r="A26" s="32" t="inlineStr">
        <is>
          <t>EXIST_HOME_SALES</t>
        </is>
      </c>
      <c r="B26" s="33" t="n">
        <v>3.91</v>
      </c>
      <c r="C26" s="34" t="inlineStr">
        <is>
          <t>2026-03-01</t>
        </is>
      </c>
      <c r="D26" s="34" t="inlineStr">
        <is>
          <t>2026-03-01</t>
        </is>
      </c>
      <c r="E26" s="35" t="inlineStr">
        <is>
          <t>样例值，对应 NAR 2026年1月成屋销售折年 3.91M。</t>
        </is>
      </c>
    </row>
    <row r="27" ht="32.25" customHeight="1" s="62">
      <c r="A27" s="32" t="inlineStr">
        <is>
          <t>HOUSING_STARTS</t>
        </is>
      </c>
      <c r="B27" s="33" t="n">
        <v>1.487</v>
      </c>
      <c r="C27" s="34" t="inlineStr">
        <is>
          <t>2026-01-01</t>
        </is>
      </c>
      <c r="D27" s="34" t="inlineStr">
        <is>
          <t>2026-03-13</t>
        </is>
      </c>
      <c r="E27" s="35" t="inlineStr">
        <is>
          <t>演示样例值；请用你自己的权威数据源替换。</t>
        </is>
      </c>
    </row>
    <row r="28" ht="32.25" customHeight="1" s="62">
      <c r="A28" s="32" t="inlineStr">
        <is>
          <t>VIX</t>
        </is>
      </c>
      <c r="B28" s="33" t="n">
        <v>16.68</v>
      </c>
      <c r="C28" s="34" t="inlineStr">
        <is>
          <t>2026-10-21</t>
        </is>
      </c>
      <c r="D28" s="34" t="inlineStr">
        <is>
          <t>2026-10-22</t>
        </is>
      </c>
      <c r="E28" s="35" t="inlineStr">
        <is>
          <t>演示样例值；请用你自己的权威数据源替换。</t>
        </is>
      </c>
    </row>
    <row r="29" ht="32.25" customHeight="1" s="62">
      <c r="A29" s="32" t="inlineStr">
        <is>
          <t>MOVE</t>
        </is>
      </c>
      <c r="B29" s="33" t="n">
        <v>95.94</v>
      </c>
      <c r="C29" s="34" t="inlineStr">
        <is>
          <t>2026-10-21</t>
        </is>
      </c>
      <c r="D29" s="34" t="inlineStr">
        <is>
          <t>2026-10-22</t>
        </is>
      </c>
      <c r="E29" s="35" t="inlineStr">
        <is>
          <t>演示样例值；请用你自己的权威数据源替换。</t>
        </is>
      </c>
    </row>
    <row r="30" ht="32.25" customHeight="1" s="62">
      <c r="A30" s="32" t="inlineStr">
        <is>
          <t>SPX_DD_3M</t>
        </is>
      </c>
      <c r="B30" s="33" t="n">
        <v>-3.1694</v>
      </c>
      <c r="C30" s="34" t="inlineStr">
        <is>
          <t>2026-10-21</t>
        </is>
      </c>
      <c r="D30" s="34" t="inlineStr">
        <is>
          <t>2026-10-22</t>
        </is>
      </c>
      <c r="E30" s="35" t="inlineStr">
        <is>
          <t>演示样例值；请用你自己的权威数据源替换。</t>
        </is>
      </c>
    </row>
    <row r="31" ht="32.25" customHeight="1" s="62">
      <c r="A31" s="32" t="inlineStr">
        <is>
          <t>DXY</t>
        </is>
      </c>
      <c r="B31" s="33" t="n">
        <v>101.559</v>
      </c>
      <c r="C31" s="34" t="inlineStr">
        <is>
          <t>2026-10-22</t>
        </is>
      </c>
      <c r="D31" s="34" t="inlineStr">
        <is>
          <t>2026-10-22</t>
        </is>
      </c>
      <c r="E31" s="35" t="inlineStr">
        <is>
          <t>演示样例值；请用你自己的权威数据源替换。</t>
        </is>
      </c>
    </row>
    <row r="32" ht="32.25" customHeight="1" s="62">
      <c r="A32" s="32" t="inlineStr">
        <is>
          <t>US_JP_10Y_SPREAD</t>
        </is>
      </c>
      <c r="B32" s="33" t="n">
        <v>197</v>
      </c>
      <c r="C32" s="34" t="inlineStr">
        <is>
          <t>2026-03-11</t>
        </is>
      </c>
      <c r="D32" s="34" t="inlineStr">
        <is>
          <t>2026-03-13</t>
        </is>
      </c>
      <c r="E32" s="35" t="inlineStr">
        <is>
          <t>演示样例值；请用你自己的权威数据源替换。</t>
        </is>
      </c>
    </row>
    <row r="33" ht="32.25" customHeight="1" s="62">
      <c r="A33" s="32" t="inlineStr">
        <is>
          <t>CAPITAL_FLOWS</t>
        </is>
      </c>
      <c r="B33" s="33" t="n">
        <v>85</v>
      </c>
      <c r="C33" s="34" t="inlineStr">
        <is>
          <t>2026-03-01</t>
        </is>
      </c>
      <c r="D33" s="34" t="inlineStr">
        <is>
          <t>2026-03-01</t>
        </is>
      </c>
      <c r="E33" s="35" t="inlineStr">
        <is>
          <t>演示样例值；请用你自己的权威数据源替换。</t>
        </is>
      </c>
    </row>
    <row r="34" ht="32.25" customHeight="1" s="62">
      <c r="A34" s="32" t="inlineStr">
        <is>
          <t>DEFICIT_GDP</t>
        </is>
      </c>
      <c r="B34" s="33" t="n">
        <v>5.8</v>
      </c>
      <c r="C34" s="34" t="inlineStr">
        <is>
          <t>2026-03-01</t>
        </is>
      </c>
      <c r="D34" s="34" t="inlineStr">
        <is>
          <t>2026-03-01</t>
        </is>
      </c>
      <c r="E34" s="35" t="inlineStr">
        <is>
          <t>样例值，对应 CBO 2026 基线赤字/GDP 约 5.8%。</t>
        </is>
      </c>
    </row>
    <row r="35" ht="32.25" customHeight="1" s="62">
      <c r="A35" s="32" t="inlineStr">
        <is>
          <t>DEBT_GDP</t>
        </is>
      </c>
      <c r="B35" s="33" t="n">
        <v>101</v>
      </c>
      <c r="C35" s="34" t="inlineStr">
        <is>
          <t>2026-03-01</t>
        </is>
      </c>
      <c r="D35" s="34" t="inlineStr">
        <is>
          <t>2026-03-01</t>
        </is>
      </c>
      <c r="E35" s="35" t="inlineStr">
        <is>
          <t>样例值，对应 CBO 2026 债务/GDP 约 101%。</t>
        </is>
      </c>
    </row>
    <row r="36" ht="32.25" customHeight="1" s="62">
      <c r="A36" s="32" t="inlineStr">
        <is>
          <t>INT_REV</t>
        </is>
      </c>
      <c r="B36" s="33" t="n">
        <v>18</v>
      </c>
      <c r="C36" s="34" t="inlineStr">
        <is>
          <t>2026-03-01</t>
        </is>
      </c>
      <c r="D36" s="34" t="inlineStr">
        <is>
          <t>2026-03-01</t>
        </is>
      </c>
      <c r="E36" s="35" t="inlineStr">
        <is>
          <t>演示样例值；请用你自己的权威数据源替换。</t>
        </is>
      </c>
    </row>
    <row r="37" ht="32.25" customHeight="1" s="62">
      <c r="A37" s="32" t="inlineStr">
        <is>
          <t>FCI</t>
        </is>
      </c>
      <c r="B37" s="33" t="n">
        <v>-0.5137</v>
      </c>
      <c r="C37" s="34" t="inlineStr">
        <is>
          <t>2026-03-06</t>
        </is>
      </c>
      <c r="D37" s="34" t="inlineStr">
        <is>
          <t>2026-03-13</t>
        </is>
      </c>
      <c r="E37" s="35" t="inlineStr">
        <is>
          <t>演示样例值；请用你自己的权威数据源替换。</t>
        </is>
      </c>
    </row>
    <row r="38" ht="32.25" customHeight="1" s="62">
      <c r="A38" s="32" t="inlineStr">
        <is>
          <t>BANK_LENDING</t>
        </is>
      </c>
      <c r="B38" s="33" t="n">
        <v>1.9462</v>
      </c>
      <c r="C38" s="34" t="inlineStr">
        <is>
          <t>2026-02-25</t>
        </is>
      </c>
      <c r="D38" s="34" t="inlineStr">
        <is>
          <t>2026-03-13</t>
        </is>
      </c>
      <c r="E38" s="35" t="inlineStr">
        <is>
          <t>演示样例值；请用你自己的权威数据源替换。</t>
        </is>
      </c>
    </row>
    <row r="39" ht="32.25" customHeight="1" s="62">
      <c r="A39" s="32" t="inlineStr">
        <is>
          <t>TED_SPREAD</t>
        </is>
      </c>
      <c r="B39" s="33" t="n">
        <v>0.09</v>
      </c>
      <c r="C39" s="34" t="inlineStr">
        <is>
          <t>2022-01-21</t>
        </is>
      </c>
      <c r="D39" s="34" t="inlineStr">
        <is>
          <t>2026-03-13</t>
        </is>
      </c>
      <c r="E39" s="35" t="inlineStr">
        <is>
          <t>演示样例值；请用你自己的权威数据源替换。</t>
        </is>
      </c>
    </row>
    <row r="40" ht="32.25" customHeight="1" s="62">
      <c r="A40" s="32" t="inlineStr">
        <is>
          <t>WTI</t>
        </is>
      </c>
      <c r="B40" s="33" t="n">
        <v>99.04000000000001</v>
      </c>
      <c r="C40" s="34" t="inlineStr">
        <is>
          <t>2026-10-22</t>
        </is>
      </c>
      <c r="D40" s="34" t="inlineStr">
        <is>
          <t>2026-10-22</t>
        </is>
      </c>
      <c r="E40" s="35" t="inlineStr">
        <is>
          <t>演示样例值；请用你自己的权威数据源替换。</t>
        </is>
      </c>
    </row>
    <row r="41" ht="32.25" customHeight="1" s="62">
      <c r="A41" s="32" t="inlineStr">
        <is>
          <t>CRB</t>
        </is>
      </c>
      <c r="B41" s="33" t="n">
        <v>3</v>
      </c>
      <c r="C41" s="34" t="inlineStr">
        <is>
          <t>2026-03-01</t>
        </is>
      </c>
      <c r="D41" s="34" t="inlineStr">
        <is>
          <t>2026-03-01</t>
        </is>
      </c>
      <c r="E41" s="35" t="inlineStr">
        <is>
          <t>演示样例值；请用你自己的权威数据源替换。</t>
        </is>
      </c>
    </row>
    <row r="42" ht="32.25" customHeight="1" s="62">
      <c r="A42" s="32" t="inlineStr">
        <is>
          <t>GPR</t>
        </is>
      </c>
      <c r="B42" s="33" t="n">
        <v>115</v>
      </c>
      <c r="C42" s="34" t="inlineStr">
        <is>
          <t>2026-03-01</t>
        </is>
      </c>
      <c r="D42" s="34" t="inlineStr">
        <is>
          <t>2026-03-01</t>
        </is>
      </c>
      <c r="E42" s="35" t="inlineStr">
        <is>
          <t>演示样例值；请用你自己的权威数据源替换。</t>
        </is>
      </c>
    </row>
    <row r="43" ht="32.25" customHeight="1" s="62">
      <c r="A43" s="32" t="inlineStr">
        <is>
          <t>CB_CONS_CONF</t>
        </is>
      </c>
      <c r="B43" s="33" t="n">
        <v>91.2</v>
      </c>
      <c r="C43" s="34" t="inlineStr">
        <is>
          <t>2026-03-01</t>
        </is>
      </c>
      <c r="D43" s="34" t="inlineStr">
        <is>
          <t>2026-03-01</t>
        </is>
      </c>
      <c r="E43" s="35" t="inlineStr">
        <is>
          <t>样例值，对应 2026年2月消费者信心 91.2。</t>
        </is>
      </c>
    </row>
    <row r="44" ht="32.25" customHeight="1" s="62">
      <c r="A44" s="32" t="inlineStr">
        <is>
          <t>CEO_CONF</t>
        </is>
      </c>
      <c r="B44" s="33" t="n">
        <v>59</v>
      </c>
      <c r="C44" s="34" t="inlineStr">
        <is>
          <t>2026-03-01</t>
        </is>
      </c>
      <c r="D44" s="34" t="inlineStr">
        <is>
          <t>2026-03-01</t>
        </is>
      </c>
      <c r="E44" s="35" t="inlineStr">
        <is>
          <t>样例值，对应 2026Q1 CEO Confidence 59。</t>
        </is>
      </c>
    </row>
    <row r="45" ht="32.25" customHeight="1" s="62">
      <c r="A45" s="32" t="inlineStr">
        <is>
          <t>EPU</t>
        </is>
      </c>
      <c r="B45" s="33" t="n">
        <v>140</v>
      </c>
      <c r="C45" s="34" t="inlineStr">
        <is>
          <t>2026-03-01</t>
        </is>
      </c>
      <c r="D45" s="34" t="inlineStr">
        <is>
          <t>2026-03-01</t>
        </is>
      </c>
      <c r="E45" s="35" t="inlineStr">
        <is>
          <t>演示样例值；请用你自己的权威数据源替换。</t>
        </is>
      </c>
    </row>
    <row r="46" ht="32.25" customHeight="1" s="62">
      <c r="A46" s="32" t="inlineStr">
        <is>
          <t>CLOUD_AI_GROWTH</t>
        </is>
      </c>
      <c r="B46" s="33" t="n">
        <v>30</v>
      </c>
      <c r="C46" s="34" t="inlineStr">
        <is>
          <t>2026-03-01</t>
        </is>
      </c>
      <c r="D46" s="34" t="inlineStr">
        <is>
          <t>2026-03-01</t>
        </is>
      </c>
      <c r="E46" s="35" t="inlineStr">
        <is>
          <t>演示样例值；请用你自己的权威数据源替换。</t>
        </is>
      </c>
    </row>
    <row r="47" ht="32.25" customHeight="1" s="62">
      <c r="A47" s="32" t="inlineStr">
        <is>
          <t>AI_CAPEX_GUIDE</t>
        </is>
      </c>
      <c r="B47" s="33" t="n">
        <v>75</v>
      </c>
      <c r="C47" s="34" t="inlineStr">
        <is>
          <t>2026-03-01</t>
        </is>
      </c>
      <c r="D47" s="34" t="inlineStr">
        <is>
          <t>2026-03-01</t>
        </is>
      </c>
      <c r="E47" s="35" t="inlineStr">
        <is>
          <t>演示样例值；请用你自己的权威数据源替换。</t>
        </is>
      </c>
    </row>
    <row r="48" ht="32.25" customHeight="1" s="62">
      <c r="A48" s="32" t="inlineStr">
        <is>
          <t>SEMI_BOOK_BILL</t>
        </is>
      </c>
      <c r="B48" s="33" t="n">
        <v>1.08</v>
      </c>
      <c r="C48" s="34" t="inlineStr">
        <is>
          <t>2026-03-01</t>
        </is>
      </c>
      <c r="D48" s="34" t="inlineStr">
        <is>
          <t>2026-03-01</t>
        </is>
      </c>
      <c r="E48" s="35" t="inlineStr">
        <is>
          <t>演示样例值；请用你自己的权威数据源替换。</t>
        </is>
      </c>
    </row>
    <row r="49" ht="32.25" customHeight="1" s="62">
      <c r="A49" s="32" t="inlineStr">
        <is>
          <t>BTC</t>
        </is>
      </c>
      <c r="B49" s="33" t="n">
        <v>82686</v>
      </c>
      <c r="C49" s="34" t="inlineStr">
        <is>
          <t>2026-10-22</t>
        </is>
      </c>
      <c r="D49" s="34" t="inlineStr">
        <is>
          <t>2026-10-22</t>
        </is>
      </c>
      <c r="E49" s="35" t="inlineStr">
        <is>
          <t>演示样例值；请用你自己的权威数据源替换。</t>
        </is>
      </c>
    </row>
    <row r="50" ht="32.25" customHeight="1" s="62">
      <c r="A50" s="32" t="inlineStr">
        <is>
          <t>USDC_MCAP</t>
        </is>
      </c>
      <c r="B50" s="33" t="n">
        <v>72.53740000000001</v>
      </c>
      <c r="C50" s="34" t="inlineStr">
        <is>
          <t>2026-10-22</t>
        </is>
      </c>
      <c r="D50" s="34" t="inlineStr">
        <is>
          <t>2026-10-22</t>
        </is>
      </c>
      <c r="E50" s="35" t="inlineStr">
        <is>
          <t>演示样例值；请用你自己的权威数据源替换。</t>
        </is>
      </c>
    </row>
    <row r="51" ht="32.25" customHeight="1" s="62">
      <c r="A51" s="32" t="inlineStr">
        <is>
          <t>STABLECOIN_DOM</t>
        </is>
      </c>
      <c r="B51" s="33" t="n">
        <v>305.5167</v>
      </c>
      <c r="C51" s="34" t="inlineStr">
        <is>
          <t>2026-10-22</t>
        </is>
      </c>
      <c r="D51" s="34" t="inlineStr">
        <is>
          <t>2026-10-22</t>
        </is>
      </c>
      <c r="E51" s="35" t="inlineStr">
        <is>
          <t>演示样例值；请用你自己的权威数据源替换。</t>
        </is>
      </c>
    </row>
  </sheetData>
  <mergeCells count="1">
    <mergeCell ref="A1:E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I70"/>
  <sheetViews>
    <sheetView showGridLines="0" zoomScaleNormal="100" workbookViewId="0">
      <pane ySplit="5" topLeftCell="A6" activePane="bottomLeft" state="frozen"/>
      <selection pane="bottomLeft" activeCell="A1" sqref="A1"/>
    </sheetView>
  </sheetViews>
  <sheetFormatPr baseColWidth="10" defaultColWidth="8.6640625" defaultRowHeight="15" customHeight="1"/>
  <cols>
    <col width="18" customWidth="1" style="62" min="1" max="1"/>
    <col width="24" customWidth="1" style="62" min="2" max="2"/>
    <col width="10" customWidth="1" style="62" min="3" max="3"/>
    <col width="12" customWidth="1" style="62" min="4" max="6"/>
    <col width="14" customWidth="1" style="62" min="7" max="8"/>
  </cols>
  <sheetData>
    <row r="1" ht="21" customHeight="1" s="62">
      <c r="A1" s="79" t="inlineStr">
        <is>
          <t>Scores（自动计算）</t>
        </is>
      </c>
      <c r="B1" s="74" t="n"/>
      <c r="C1" s="74" t="n"/>
      <c r="D1" s="74" t="n"/>
      <c r="E1" s="74" t="n"/>
      <c r="F1" s="74" t="n"/>
      <c r="G1" s="74" t="n"/>
      <c r="H1" s="74" t="n"/>
      <c r="I1" s="31" t="n"/>
    </row>
    <row r="2" ht="15" customHeight="1" s="62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</row>
    <row r="3" ht="15" customHeight="1" s="62">
      <c r="A3" s="36" t="inlineStr">
        <is>
          <t>指标分数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</row>
    <row r="4" ht="15" customHeight="1" s="62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</row>
    <row r="5" ht="27.75" customHeight="1" s="62">
      <c r="A5" s="28" t="inlineStr">
        <is>
          <t>IndicatorCode</t>
        </is>
      </c>
      <c r="B5" s="28" t="inlineStr">
        <is>
          <t>IndicatorName</t>
        </is>
      </c>
      <c r="C5" s="28" t="inlineStr">
        <is>
          <t>DimensionID</t>
        </is>
      </c>
      <c r="D5" s="28" t="inlineStr">
        <is>
          <t>LatestValue</t>
        </is>
      </c>
      <c r="E5" s="28" t="inlineStr">
        <is>
          <t>CappedValue</t>
        </is>
      </c>
      <c r="F5" s="28" t="inlineStr">
        <is>
          <t>Score(0-100)</t>
        </is>
      </c>
      <c r="G5" s="28" t="inlineStr">
        <is>
          <t>WeightWithinDim</t>
        </is>
      </c>
      <c r="H5" s="28" t="inlineStr">
        <is>
          <t>WeightedScore</t>
        </is>
      </c>
      <c r="I5" s="37" t="inlineStr">
        <is>
          <t>SourceURL</t>
        </is>
      </c>
    </row>
    <row r="6" ht="68.25" customHeight="1" s="62">
      <c r="A6" s="26" t="inlineStr">
        <is>
          <t>YC_10Y3M</t>
        </is>
      </c>
      <c r="B6" s="26">
        <f>INDEX(Indicators!$C$2:$C$46, MATCH($A6, Indicators!$A$2:$A$46, 0))</f>
        <v/>
      </c>
      <c r="C6" s="26">
        <f>INDEX(Indicators!$B$2:$B$46, MATCH($A6, Indicators!$A$2:$A$46, 0))</f>
        <v/>
      </c>
      <c r="D6" s="26">
        <f>IFERROR(INDEX(Inputs!$B$7:$B$51, MATCH($A6, Inputs!$A$7:$A$51, 0)),"")</f>
        <v/>
      </c>
      <c r="E6" s="26">
        <f>IF($D6="","",IF(AND(INDEX(Indicators!$Q$2:$Q$46, MATCH($A6, Indicators!$A$2:$A$46, 0))="",INDEX(Indicators!$R$2:$R$46, MATCH($A6, Indicators!$A$2:$A$46, 0))=""),$D6,IF(INDEX(Indicators!$Q$2:$Q$46, MATCH($A6, Indicators!$A$2:$A$46, 0))="",MIN($D6,INDEX(Indicators!$R$2:$R$46, MATCH($A6, Indicators!$A$2:$A$46, 0))),IF(INDEX(Indicators!$R$2:$R$46, MATCH($A6, Indicators!$A$2:$A$46, 0))="",MAX($D6,INDEX(Indicators!$Q$2:$Q$46, MATCH($A6, Indicators!$A$2:$A$46, 0))),MIN(MAX($D6,INDEX(Indicators!$Q$2:$Q$46, MATCH($A6, Indicators!$A$2:$A$46, 0))),INDEX(Indicators!$R$2:$R$46, MATCH($A6, Indicators!$A$2:$A$46, 0)))))))</f>
        <v/>
      </c>
      <c r="F6" s="26">
        <f>IF($E6="","",IF(INDEX(Indicators!$I$2:$I$46, MATCH($A6, Indicators!$A$2:$A$46, 0))="TargetBand",IF(AND($E6&gt;=INDEX(Indicators!$N$2:$N$46, MATCH($A6, Indicators!$A$2:$A$46, 0)),$E6&lt;=INDEX(Indicators!$O$2:$O$46, MATCH($A6, Indicators!$A$2:$A$46, 0))),100,IF($E6&lt;INDEX(Indicators!$N$2:$N$46, MATCH($A6, Indicators!$A$2:$A$46, 0)),MAX(0,MIN(100,($E6-INDEX(Indicators!$M$2:$M$46, MATCH($A6, Indicators!$A$2:$A$46, 0)))/(INDEX(Indicators!$N$2:$N$46, MATCH($A6, Indicators!$A$2:$A$46, 0))-INDEX(Indicators!$M$2:$M$46, MATCH($A6, Indicators!$A$2:$A$46, 0)))*100)),MAX(0,MIN(100,(INDEX(Indicators!$P$2:$P$46, MATCH($A6, Indicators!$A$2:$A$46, 0))-$E6)/(INDEX(Indicators!$P$2:$P$46, MATCH($A6, Indicators!$A$2:$A$46, 0))-INDEX(Indicators!$O$2:$O$46, MATCH($A6, Indicators!$A$2:$A$46, 0)))*100)))),IF(INDEX(Indicators!$J$2:$J$46, MATCH($A6, Indicators!$A$2:$A$46, 0))="HigherBetter",MAX(0,MIN(100,($E6-INDEX(Indicators!$L$2:$L$46, MATCH($A6, Indicators!$A$2:$A$46, 0)))/(INDEX(Indicators!$K$2:$K$46, MATCH($A6, Indicators!$A$2:$A$46, 0))-INDEX(Indicators!$L$2:$L$46, MATCH($A6, Indicators!$A$2:$A$46, 0)))*100)),IF(INDEX(Indicators!$J$2:$J$46, MATCH($A6, Indicators!$A$2:$A$46, 0))="LowerBetter",MAX(0,MIN(100,(INDEX(Indicators!$L$2:$L$46, MATCH($A6, Indicators!$A$2:$A$46, 0))-$E6)/(INDEX(Indicators!$L$2:$L$46, MATCH($A6, Indicators!$A$2:$A$46, 0))-INDEX(Indicators!$K$2:$K$46, MATCH($A6, Indicators!$A$2:$A$46, 0)))*100)),""))))</f>
        <v/>
      </c>
      <c r="G6" s="26">
        <f>IFERROR(INDEX(Indicators!$S$2:$S$46, MATCH($A6, Indicators!$A$2:$A$46, 0)),"")</f>
        <v/>
      </c>
      <c r="H6" s="26">
        <f>IF($F6="","",$F6*$G6)</f>
        <v/>
      </c>
      <c r="I6" s="26">
        <f>IFERROR(INDEX(Indicators!$G$2:$G$46, MATCH($A6, Indicators!$A$2:$A$46, 0)),"")</f>
        <v/>
      </c>
    </row>
    <row r="7" ht="68.25" customHeight="1" s="62">
      <c r="A7" s="26" t="inlineStr">
        <is>
          <t>SOFR</t>
        </is>
      </c>
      <c r="B7" s="26">
        <f>INDEX(Indicators!$C$2:$C$46, MATCH($A7, Indicators!$A$2:$A$46, 0))</f>
        <v/>
      </c>
      <c r="C7" s="26">
        <f>INDEX(Indicators!$B$2:$B$46, MATCH($A7, Indicators!$A$2:$A$46, 0))</f>
        <v/>
      </c>
      <c r="D7" s="26">
        <f>IFERROR(INDEX(Inputs!$B$7:$B$51, MATCH($A7, Inputs!$A$7:$A$51, 0)),"")</f>
        <v/>
      </c>
      <c r="E7" s="26">
        <f>IF($D7="","",IF(AND(INDEX(Indicators!$Q$2:$Q$46, MATCH($A7, Indicators!$A$2:$A$46, 0))="",INDEX(Indicators!$R$2:$R$46, MATCH($A7, Indicators!$A$2:$A$46, 0))=""),$D7,IF(INDEX(Indicators!$Q$2:$Q$46, MATCH($A7, Indicators!$A$2:$A$46, 0))="",MIN($D7,INDEX(Indicators!$R$2:$R$46, MATCH($A7, Indicators!$A$2:$A$46, 0))),IF(INDEX(Indicators!$R$2:$R$46, MATCH($A7, Indicators!$A$2:$A$46, 0))="",MAX($D7,INDEX(Indicators!$Q$2:$Q$46, MATCH($A7, Indicators!$A$2:$A$46, 0))),MIN(MAX($D7,INDEX(Indicators!$Q$2:$Q$46, MATCH($A7, Indicators!$A$2:$A$46, 0))),INDEX(Indicators!$R$2:$R$46, MATCH($A7, Indicators!$A$2:$A$46, 0)))))))</f>
        <v/>
      </c>
      <c r="F7" s="26">
        <f>IF($E7="","",IF(INDEX(Indicators!$I$2:$I$46, MATCH($A7, Indicators!$A$2:$A$46, 0))="TargetBand",IF(AND($E7&gt;=INDEX(Indicators!$N$2:$N$46, MATCH($A7, Indicators!$A$2:$A$46, 0)),$E7&lt;=INDEX(Indicators!$O$2:$O$46, MATCH($A7, Indicators!$A$2:$A$46, 0))),100,IF($E7&lt;INDEX(Indicators!$N$2:$N$46, MATCH($A7, Indicators!$A$2:$A$46, 0)),MAX(0,MIN(100,($E7-INDEX(Indicators!$M$2:$M$46, MATCH($A7, Indicators!$A$2:$A$46, 0)))/(INDEX(Indicators!$N$2:$N$46, MATCH($A7, Indicators!$A$2:$A$46, 0))-INDEX(Indicators!$M$2:$M$46, MATCH($A7, Indicators!$A$2:$A$46, 0)))*100)),MAX(0,MIN(100,(INDEX(Indicators!$P$2:$P$46, MATCH($A7, Indicators!$A$2:$A$46, 0))-$E7)/(INDEX(Indicators!$P$2:$P$46, MATCH($A7, Indicators!$A$2:$A$46, 0))-INDEX(Indicators!$O$2:$O$46, MATCH($A7, Indicators!$A$2:$A$46, 0)))*100)))),IF(INDEX(Indicators!$J$2:$J$46, MATCH($A7, Indicators!$A$2:$A$46, 0))="HigherBetter",MAX(0,MIN(100,($E7-INDEX(Indicators!$L$2:$L$46, MATCH($A7, Indicators!$A$2:$A$46, 0)))/(INDEX(Indicators!$K$2:$K$46, MATCH($A7, Indicators!$A$2:$A$46, 0))-INDEX(Indicators!$L$2:$L$46, MATCH($A7, Indicators!$A$2:$A$46, 0)))*100)),IF(INDEX(Indicators!$J$2:$J$46, MATCH($A7, Indicators!$A$2:$A$46, 0))="LowerBetter",MAX(0,MIN(100,(INDEX(Indicators!$L$2:$L$46, MATCH($A7, Indicators!$A$2:$A$46, 0))-$E7)/(INDEX(Indicators!$L$2:$L$46, MATCH($A7, Indicators!$A$2:$A$46, 0))-INDEX(Indicators!$K$2:$K$46, MATCH($A7, Indicators!$A$2:$A$46, 0)))*100)),""))))</f>
        <v/>
      </c>
      <c r="G7" s="26">
        <f>IFERROR(INDEX(Indicators!$S$2:$S$46, MATCH($A7, Indicators!$A$2:$A$46, 0)),"")</f>
        <v/>
      </c>
      <c r="H7" s="26">
        <f>IF($F7="","",$F7*$G7)</f>
        <v/>
      </c>
      <c r="I7" s="26">
        <f>IFERROR(INDEX(Indicators!$G$2:$G$46, MATCH($A7, Indicators!$A$2:$A$46, 0)),"")</f>
        <v/>
      </c>
    </row>
    <row r="8" ht="68.25" customHeight="1" s="62">
      <c r="A8" s="26" t="inlineStr">
        <is>
          <t>FED_ASSETS</t>
        </is>
      </c>
      <c r="B8" s="26">
        <f>INDEX(Indicators!$C$2:$C$46, MATCH($A8, Indicators!$A$2:$A$46, 0))</f>
        <v/>
      </c>
      <c r="C8" s="26">
        <f>INDEX(Indicators!$B$2:$B$46, MATCH($A8, Indicators!$A$2:$A$46, 0))</f>
        <v/>
      </c>
      <c r="D8" s="26">
        <f>IFERROR(INDEX(Inputs!$B$7:$B$51, MATCH($A8, Inputs!$A$7:$A$51, 0)),"")</f>
        <v/>
      </c>
      <c r="E8" s="26">
        <f>IF($D8="","",IF(AND(INDEX(Indicators!$Q$2:$Q$46, MATCH($A8, Indicators!$A$2:$A$46, 0))="",INDEX(Indicators!$R$2:$R$46, MATCH($A8, Indicators!$A$2:$A$46, 0))=""),$D8,IF(INDEX(Indicators!$Q$2:$Q$46, MATCH($A8, Indicators!$A$2:$A$46, 0))="",MIN($D8,INDEX(Indicators!$R$2:$R$46, MATCH($A8, Indicators!$A$2:$A$46, 0))),IF(INDEX(Indicators!$R$2:$R$46, MATCH($A8, Indicators!$A$2:$A$46, 0))="",MAX($D8,INDEX(Indicators!$Q$2:$Q$46, MATCH($A8, Indicators!$A$2:$A$46, 0))),MIN(MAX($D8,INDEX(Indicators!$Q$2:$Q$46, MATCH($A8, Indicators!$A$2:$A$46, 0))),INDEX(Indicators!$R$2:$R$46, MATCH($A8, Indicators!$A$2:$A$46, 0)))))))</f>
        <v/>
      </c>
      <c r="F8" s="26">
        <f>IF($E8="","",IF(INDEX(Indicators!$I$2:$I$46, MATCH($A8, Indicators!$A$2:$A$46, 0))="TargetBand",IF(AND($E8&gt;=INDEX(Indicators!$N$2:$N$46, MATCH($A8, Indicators!$A$2:$A$46, 0)),$E8&lt;=INDEX(Indicators!$O$2:$O$46, MATCH($A8, Indicators!$A$2:$A$46, 0))),100,IF($E8&lt;INDEX(Indicators!$N$2:$N$46, MATCH($A8, Indicators!$A$2:$A$46, 0)),MAX(0,MIN(100,($E8-INDEX(Indicators!$M$2:$M$46, MATCH($A8, Indicators!$A$2:$A$46, 0)))/(INDEX(Indicators!$N$2:$N$46, MATCH($A8, Indicators!$A$2:$A$46, 0))-INDEX(Indicators!$M$2:$M$46, MATCH($A8, Indicators!$A$2:$A$46, 0)))*100)),MAX(0,MIN(100,(INDEX(Indicators!$P$2:$P$46, MATCH($A8, Indicators!$A$2:$A$46, 0))-$E8)/(INDEX(Indicators!$P$2:$P$46, MATCH($A8, Indicators!$A$2:$A$46, 0))-INDEX(Indicators!$O$2:$O$46, MATCH($A8, Indicators!$A$2:$A$46, 0)))*100)))),IF(INDEX(Indicators!$J$2:$J$46, MATCH($A8, Indicators!$A$2:$A$46, 0))="HigherBetter",MAX(0,MIN(100,($E8-INDEX(Indicators!$L$2:$L$46, MATCH($A8, Indicators!$A$2:$A$46, 0)))/(INDEX(Indicators!$K$2:$K$46, MATCH($A8, Indicators!$A$2:$A$46, 0))-INDEX(Indicators!$L$2:$L$46, MATCH($A8, Indicators!$A$2:$A$46, 0)))*100)),IF(INDEX(Indicators!$J$2:$J$46, MATCH($A8, Indicators!$A$2:$A$46, 0))="LowerBetter",MAX(0,MIN(100,(INDEX(Indicators!$L$2:$L$46, MATCH($A8, Indicators!$A$2:$A$46, 0))-$E8)/(INDEX(Indicators!$L$2:$L$46, MATCH($A8, Indicators!$A$2:$A$46, 0))-INDEX(Indicators!$K$2:$K$46, MATCH($A8, Indicators!$A$2:$A$46, 0)))*100)),""))))</f>
        <v/>
      </c>
      <c r="G8" s="26">
        <f>IFERROR(INDEX(Indicators!$S$2:$S$46, MATCH($A8, Indicators!$A$2:$A$46, 0)),"")</f>
        <v/>
      </c>
      <c r="H8" s="26">
        <f>IF($F8="","",$F8*$G8)</f>
        <v/>
      </c>
      <c r="I8" s="26">
        <f>IFERROR(INDEX(Indicators!$G$2:$G$46, MATCH($A8, Indicators!$A$2:$A$46, 0)),"")</f>
        <v/>
      </c>
    </row>
    <row r="9" ht="48" customHeight="1" s="62">
      <c r="A9" s="26" t="inlineStr">
        <is>
          <t>NET_LIQ_PROXY</t>
        </is>
      </c>
      <c r="B9" s="26">
        <f>INDEX(Indicators!$C$2:$C$46, MATCH($A9, Indicators!$A$2:$A$46, 0))</f>
        <v/>
      </c>
      <c r="C9" s="26">
        <f>INDEX(Indicators!$B$2:$B$46, MATCH($A9, Indicators!$A$2:$A$46, 0))</f>
        <v/>
      </c>
      <c r="D9" s="26">
        <f>IFERROR(INDEX(Inputs!$B$7:$B$51, MATCH($A9, Inputs!$A$7:$A$51, 0)),"")</f>
        <v/>
      </c>
      <c r="E9" s="26">
        <f>IF($D9="","",IF(AND(INDEX(Indicators!$Q$2:$Q$46, MATCH($A9, Indicators!$A$2:$A$46, 0))="",INDEX(Indicators!$R$2:$R$46, MATCH($A9, Indicators!$A$2:$A$46, 0))=""),$D9,IF(INDEX(Indicators!$Q$2:$Q$46, MATCH($A9, Indicators!$A$2:$A$46, 0))="",MIN($D9,INDEX(Indicators!$R$2:$R$46, MATCH($A9, Indicators!$A$2:$A$46, 0))),IF(INDEX(Indicators!$R$2:$R$46, MATCH($A9, Indicators!$A$2:$A$46, 0))="",MAX($D9,INDEX(Indicators!$Q$2:$Q$46, MATCH($A9, Indicators!$A$2:$A$46, 0))),MIN(MAX($D9,INDEX(Indicators!$Q$2:$Q$46, MATCH($A9, Indicators!$A$2:$A$46, 0))),INDEX(Indicators!$R$2:$R$46, MATCH($A9, Indicators!$A$2:$A$46, 0)))))))</f>
        <v/>
      </c>
      <c r="F9" s="26">
        <f>IF($E9="","",IF(INDEX(Indicators!$I$2:$I$46, MATCH($A9, Indicators!$A$2:$A$46, 0))="TargetBand",IF(AND($E9&gt;=INDEX(Indicators!$N$2:$N$46, MATCH($A9, Indicators!$A$2:$A$46, 0)),$E9&lt;=INDEX(Indicators!$O$2:$O$46, MATCH($A9, Indicators!$A$2:$A$46, 0))),100,IF($E9&lt;INDEX(Indicators!$N$2:$N$46, MATCH($A9, Indicators!$A$2:$A$46, 0)),MAX(0,MIN(100,($E9-INDEX(Indicators!$M$2:$M$46, MATCH($A9, Indicators!$A$2:$A$46, 0)))/(INDEX(Indicators!$N$2:$N$46, MATCH($A9, Indicators!$A$2:$A$46, 0))-INDEX(Indicators!$M$2:$M$46, MATCH($A9, Indicators!$A$2:$A$46, 0)))*100)),MAX(0,MIN(100,(INDEX(Indicators!$P$2:$P$46, MATCH($A9, Indicators!$A$2:$A$46, 0))-$E9)/(INDEX(Indicators!$P$2:$P$46, MATCH($A9, Indicators!$A$2:$A$46, 0))-INDEX(Indicators!$O$2:$O$46, MATCH($A9, Indicators!$A$2:$A$46, 0)))*100)))),IF(INDEX(Indicators!$J$2:$J$46, MATCH($A9, Indicators!$A$2:$A$46, 0))="HigherBetter",MAX(0,MIN(100,($E9-INDEX(Indicators!$L$2:$L$46, MATCH($A9, Indicators!$A$2:$A$46, 0)))/(INDEX(Indicators!$K$2:$K$46, MATCH($A9, Indicators!$A$2:$A$46, 0))-INDEX(Indicators!$L$2:$L$46, MATCH($A9, Indicators!$A$2:$A$46, 0)))*100)),IF(INDEX(Indicators!$J$2:$J$46, MATCH($A9, Indicators!$A$2:$A$46, 0))="LowerBetter",MAX(0,MIN(100,(INDEX(Indicators!$L$2:$L$46, MATCH($A9, Indicators!$A$2:$A$46, 0))-$E9)/(INDEX(Indicators!$L$2:$L$46, MATCH($A9, Indicators!$A$2:$A$46, 0))-INDEX(Indicators!$K$2:$K$46, MATCH($A9, Indicators!$A$2:$A$46, 0)))*100)),""))))</f>
        <v/>
      </c>
      <c r="G9" s="26">
        <f>IFERROR(INDEX(Indicators!$S$2:$S$46, MATCH($A9, Indicators!$A$2:$A$46, 0)),"")</f>
        <v/>
      </c>
      <c r="H9" s="26">
        <f>IF($F9="","",$F9*$G9)</f>
        <v/>
      </c>
      <c r="I9" s="26">
        <f>IFERROR(INDEX(Indicators!$G$2:$G$46, MATCH($A9, Indicators!$A$2:$A$46, 0)),"")</f>
        <v/>
      </c>
    </row>
    <row r="10" ht="34.5" customHeight="1" s="62">
      <c r="A10" s="26" t="inlineStr">
        <is>
          <t>GDP_QOQ_SAAR</t>
        </is>
      </c>
      <c r="B10" s="26">
        <f>INDEX(Indicators!$C$2:$C$46, MATCH($A10, Indicators!$A$2:$A$46, 0))</f>
        <v/>
      </c>
      <c r="C10" s="26">
        <f>INDEX(Indicators!$B$2:$B$46, MATCH($A10, Indicators!$A$2:$A$46, 0))</f>
        <v/>
      </c>
      <c r="D10" s="26">
        <f>IFERROR(INDEX(Inputs!$B$7:$B$51, MATCH($A10, Inputs!$A$7:$A$51, 0)),"")</f>
        <v/>
      </c>
      <c r="E10" s="26">
        <f>IF($D10="","",IF(AND(INDEX(Indicators!$Q$2:$Q$46, MATCH($A10, Indicators!$A$2:$A$46, 0))="",INDEX(Indicators!$R$2:$R$46, MATCH($A10, Indicators!$A$2:$A$46, 0))=""),$D10,IF(INDEX(Indicators!$Q$2:$Q$46, MATCH($A10, Indicators!$A$2:$A$46, 0))="",MIN($D10,INDEX(Indicators!$R$2:$R$46, MATCH($A10, Indicators!$A$2:$A$46, 0))),IF(INDEX(Indicators!$R$2:$R$46, MATCH($A10, Indicators!$A$2:$A$46, 0))="",MAX($D10,INDEX(Indicators!$Q$2:$Q$46, MATCH($A10, Indicators!$A$2:$A$46, 0))),MIN(MAX($D10,INDEX(Indicators!$Q$2:$Q$46, MATCH($A10, Indicators!$A$2:$A$46, 0))),INDEX(Indicators!$R$2:$R$46, MATCH($A10, Indicators!$A$2:$A$46, 0)))))))</f>
        <v/>
      </c>
      <c r="F10" s="26">
        <f>IF($E10="","",IF(INDEX(Indicators!$I$2:$I$46, MATCH($A10, Indicators!$A$2:$A$46, 0))="TargetBand",IF(AND($E10&gt;=INDEX(Indicators!$N$2:$N$46, MATCH($A10, Indicators!$A$2:$A$46, 0)),$E10&lt;=INDEX(Indicators!$O$2:$O$46, MATCH($A10, Indicators!$A$2:$A$46, 0))),100,IF($E10&lt;INDEX(Indicators!$N$2:$N$46, MATCH($A10, Indicators!$A$2:$A$46, 0)),MAX(0,MIN(100,($E10-INDEX(Indicators!$M$2:$M$46, MATCH($A10, Indicators!$A$2:$A$46, 0)))/(INDEX(Indicators!$N$2:$N$46, MATCH($A10, Indicators!$A$2:$A$46, 0))-INDEX(Indicators!$M$2:$M$46, MATCH($A10, Indicators!$A$2:$A$46, 0)))*100)),MAX(0,MIN(100,(INDEX(Indicators!$P$2:$P$46, MATCH($A10, Indicators!$A$2:$A$46, 0))-$E10)/(INDEX(Indicators!$P$2:$P$46, MATCH($A10, Indicators!$A$2:$A$46, 0))-INDEX(Indicators!$O$2:$O$46, MATCH($A10, Indicators!$A$2:$A$46, 0)))*100)))),IF(INDEX(Indicators!$J$2:$J$46, MATCH($A10, Indicators!$A$2:$A$46, 0))="HigherBetter",MAX(0,MIN(100,($E10-INDEX(Indicators!$L$2:$L$46, MATCH($A10, Indicators!$A$2:$A$46, 0)))/(INDEX(Indicators!$K$2:$K$46, MATCH($A10, Indicators!$A$2:$A$46, 0))-INDEX(Indicators!$L$2:$L$46, MATCH($A10, Indicators!$A$2:$A$46, 0)))*100)),IF(INDEX(Indicators!$J$2:$J$46, MATCH($A10, Indicators!$A$2:$A$46, 0))="LowerBetter",MAX(0,MIN(100,(INDEX(Indicators!$L$2:$L$46, MATCH($A10, Indicators!$A$2:$A$46, 0))-$E10)/(INDEX(Indicators!$L$2:$L$46, MATCH($A10, Indicators!$A$2:$A$46, 0))-INDEX(Indicators!$K$2:$K$46, MATCH($A10, Indicators!$A$2:$A$46, 0)))*100)),""))))</f>
        <v/>
      </c>
      <c r="G10" s="26">
        <f>IFERROR(INDEX(Indicators!$S$2:$S$46, MATCH($A10, Indicators!$A$2:$A$46, 0)),"")</f>
        <v/>
      </c>
      <c r="H10" s="26">
        <f>IF($F10="","",$F10*$G10)</f>
        <v/>
      </c>
      <c r="I10" s="26">
        <f>IFERROR(INDEX(Indicators!$G$2:$G$46, MATCH($A10, Indicators!$A$2:$A$46, 0)),"")</f>
        <v/>
      </c>
    </row>
    <row r="11" ht="48" customHeight="1" s="62">
      <c r="A11" s="26" t="inlineStr">
        <is>
          <t>PMI_MAN</t>
        </is>
      </c>
      <c r="B11" s="26">
        <f>INDEX(Indicators!$C$2:$C$46, MATCH($A11, Indicators!$A$2:$A$46, 0))</f>
        <v/>
      </c>
      <c r="C11" s="26">
        <f>INDEX(Indicators!$B$2:$B$46, MATCH($A11, Indicators!$A$2:$A$46, 0))</f>
        <v/>
      </c>
      <c r="D11" s="26">
        <f>IFERROR(INDEX(Inputs!$B$7:$B$51, MATCH($A11, Inputs!$A$7:$A$51, 0)),"")</f>
        <v/>
      </c>
      <c r="E11" s="26">
        <f>IF($D11="","",IF(AND(INDEX(Indicators!$Q$2:$Q$46, MATCH($A11, Indicators!$A$2:$A$46, 0))="",INDEX(Indicators!$R$2:$R$46, MATCH($A11, Indicators!$A$2:$A$46, 0))=""),$D11,IF(INDEX(Indicators!$Q$2:$Q$46, MATCH($A11, Indicators!$A$2:$A$46, 0))="",MIN($D11,INDEX(Indicators!$R$2:$R$46, MATCH($A11, Indicators!$A$2:$A$46, 0))),IF(INDEX(Indicators!$R$2:$R$46, MATCH($A11, Indicators!$A$2:$A$46, 0))="",MAX($D11,INDEX(Indicators!$Q$2:$Q$46, MATCH($A11, Indicators!$A$2:$A$46, 0))),MIN(MAX($D11,INDEX(Indicators!$Q$2:$Q$46, MATCH($A11, Indicators!$A$2:$A$46, 0))),INDEX(Indicators!$R$2:$R$46, MATCH($A11, Indicators!$A$2:$A$46, 0)))))))</f>
        <v/>
      </c>
      <c r="F11" s="26">
        <f>IF($E11="","",IF(INDEX(Indicators!$I$2:$I$46, MATCH($A11, Indicators!$A$2:$A$46, 0))="TargetBand",IF(AND($E11&gt;=INDEX(Indicators!$N$2:$N$46, MATCH($A11, Indicators!$A$2:$A$46, 0)),$E11&lt;=INDEX(Indicators!$O$2:$O$46, MATCH($A11, Indicators!$A$2:$A$46, 0))),100,IF($E11&lt;INDEX(Indicators!$N$2:$N$46, MATCH($A11, Indicators!$A$2:$A$46, 0)),MAX(0,MIN(100,($E11-INDEX(Indicators!$M$2:$M$46, MATCH($A11, Indicators!$A$2:$A$46, 0)))/(INDEX(Indicators!$N$2:$N$46, MATCH($A11, Indicators!$A$2:$A$46, 0))-INDEX(Indicators!$M$2:$M$46, MATCH($A11, Indicators!$A$2:$A$46, 0)))*100)),MAX(0,MIN(100,(INDEX(Indicators!$P$2:$P$46, MATCH($A11, Indicators!$A$2:$A$46, 0))-$E11)/(INDEX(Indicators!$P$2:$P$46, MATCH($A11, Indicators!$A$2:$A$46, 0))-INDEX(Indicators!$O$2:$O$46, MATCH($A11, Indicators!$A$2:$A$46, 0)))*100)))),IF(INDEX(Indicators!$J$2:$J$46, MATCH($A11, Indicators!$A$2:$A$46, 0))="HigherBetter",MAX(0,MIN(100,($E11-INDEX(Indicators!$L$2:$L$46, MATCH($A11, Indicators!$A$2:$A$46, 0)))/(INDEX(Indicators!$K$2:$K$46, MATCH($A11, Indicators!$A$2:$A$46, 0))-INDEX(Indicators!$L$2:$L$46, MATCH($A11, Indicators!$A$2:$A$46, 0)))*100)),IF(INDEX(Indicators!$J$2:$J$46, MATCH($A11, Indicators!$A$2:$A$46, 0))="LowerBetter",MAX(0,MIN(100,(INDEX(Indicators!$L$2:$L$46, MATCH($A11, Indicators!$A$2:$A$46, 0))-$E11)/(INDEX(Indicators!$L$2:$L$46, MATCH($A11, Indicators!$A$2:$A$46, 0))-INDEX(Indicators!$K$2:$K$46, MATCH($A11, Indicators!$A$2:$A$46, 0)))*100)),""))))</f>
        <v/>
      </c>
      <c r="G11" s="26">
        <f>IFERROR(INDEX(Indicators!$S$2:$S$46, MATCH($A11, Indicators!$A$2:$A$46, 0)),"")</f>
        <v/>
      </c>
      <c r="H11" s="26">
        <f>IF($F11="","",$F11*$G11)</f>
        <v/>
      </c>
      <c r="I11" s="26">
        <f>IFERROR(INDEX(Indicators!$G$2:$G$46, MATCH($A11, Indicators!$A$2:$A$46, 0)),"")</f>
        <v/>
      </c>
    </row>
    <row r="12" ht="57" customHeight="1" s="62">
      <c r="A12" s="26" t="inlineStr">
        <is>
          <t>CLAIMS_4WMA</t>
        </is>
      </c>
      <c r="B12" s="26">
        <f>INDEX(Indicators!$C$2:$C$46, MATCH($A12, Indicators!$A$2:$A$46, 0))</f>
        <v/>
      </c>
      <c r="C12" s="26">
        <f>INDEX(Indicators!$B$2:$B$46, MATCH($A12, Indicators!$A$2:$A$46, 0))</f>
        <v/>
      </c>
      <c r="D12" s="26">
        <f>IFERROR(INDEX(Inputs!$B$7:$B$51, MATCH($A12, Inputs!$A$7:$A$51, 0)),"")</f>
        <v/>
      </c>
      <c r="E12" s="26">
        <f>IF($D12="","",IF(AND(INDEX(Indicators!$Q$2:$Q$46, MATCH($A12, Indicators!$A$2:$A$46, 0))="",INDEX(Indicators!$R$2:$R$46, MATCH($A12, Indicators!$A$2:$A$46, 0))=""),$D12,IF(INDEX(Indicators!$Q$2:$Q$46, MATCH($A12, Indicators!$A$2:$A$46, 0))="",MIN($D12,INDEX(Indicators!$R$2:$R$46, MATCH($A12, Indicators!$A$2:$A$46, 0))),IF(INDEX(Indicators!$R$2:$R$46, MATCH($A12, Indicators!$A$2:$A$46, 0))="",MAX($D12,INDEX(Indicators!$Q$2:$Q$46, MATCH($A12, Indicators!$A$2:$A$46, 0))),MIN(MAX($D12,INDEX(Indicators!$Q$2:$Q$46, MATCH($A12, Indicators!$A$2:$A$46, 0))),INDEX(Indicators!$R$2:$R$46, MATCH($A12, Indicators!$A$2:$A$46, 0)))))))</f>
        <v/>
      </c>
      <c r="F12" s="26">
        <f>IF($E12="","",IF(INDEX(Indicators!$I$2:$I$46, MATCH($A12, Indicators!$A$2:$A$46, 0))="TargetBand",IF(AND($E12&gt;=INDEX(Indicators!$N$2:$N$46, MATCH($A12, Indicators!$A$2:$A$46, 0)),$E12&lt;=INDEX(Indicators!$O$2:$O$46, MATCH($A12, Indicators!$A$2:$A$46, 0))),100,IF($E12&lt;INDEX(Indicators!$N$2:$N$46, MATCH($A12, Indicators!$A$2:$A$46, 0)),MAX(0,MIN(100,($E12-INDEX(Indicators!$M$2:$M$46, MATCH($A12, Indicators!$A$2:$A$46, 0)))/(INDEX(Indicators!$N$2:$N$46, MATCH($A12, Indicators!$A$2:$A$46, 0))-INDEX(Indicators!$M$2:$M$46, MATCH($A12, Indicators!$A$2:$A$46, 0)))*100)),MAX(0,MIN(100,(INDEX(Indicators!$P$2:$P$46, MATCH($A12, Indicators!$A$2:$A$46, 0))-$E12)/(INDEX(Indicators!$P$2:$P$46, MATCH($A12, Indicators!$A$2:$A$46, 0))-INDEX(Indicators!$O$2:$O$46, MATCH($A12, Indicators!$A$2:$A$46, 0)))*100)))),IF(INDEX(Indicators!$J$2:$J$46, MATCH($A12, Indicators!$A$2:$A$46, 0))="HigherBetter",MAX(0,MIN(100,($E12-INDEX(Indicators!$L$2:$L$46, MATCH($A12, Indicators!$A$2:$A$46, 0)))/(INDEX(Indicators!$K$2:$K$46, MATCH($A12, Indicators!$A$2:$A$46, 0))-INDEX(Indicators!$L$2:$L$46, MATCH($A12, Indicators!$A$2:$A$46, 0)))*100)),IF(INDEX(Indicators!$J$2:$J$46, MATCH($A12, Indicators!$A$2:$A$46, 0))="LowerBetter",MAX(0,MIN(100,(INDEX(Indicators!$L$2:$L$46, MATCH($A12, Indicators!$A$2:$A$46, 0))-$E12)/(INDEX(Indicators!$L$2:$L$46, MATCH($A12, Indicators!$A$2:$A$46, 0))-INDEX(Indicators!$K$2:$K$46, MATCH($A12, Indicators!$A$2:$A$46, 0)))*100)),""))))</f>
        <v/>
      </c>
      <c r="G12" s="26">
        <f>IFERROR(INDEX(Indicators!$S$2:$S$46, MATCH($A12, Indicators!$A$2:$A$46, 0)),"")</f>
        <v/>
      </c>
      <c r="H12" s="26">
        <f>IF($F12="","",$F12*$G12)</f>
        <v/>
      </c>
      <c r="I12" s="26">
        <f>IFERROR(INDEX(Indicators!$G$2:$G$46, MATCH($A12, Indicators!$A$2:$A$46, 0)),"")</f>
        <v/>
      </c>
    </row>
    <row r="13" ht="57" customHeight="1" s="62">
      <c r="A13" s="26" t="inlineStr">
        <is>
          <t>LEI</t>
        </is>
      </c>
      <c r="B13" s="26">
        <f>INDEX(Indicators!$C$2:$C$46, MATCH($A13, Indicators!$A$2:$A$46, 0))</f>
        <v/>
      </c>
      <c r="C13" s="26">
        <f>INDEX(Indicators!$B$2:$B$46, MATCH($A13, Indicators!$A$2:$A$46, 0))</f>
        <v/>
      </c>
      <c r="D13" s="26">
        <f>IFERROR(INDEX(Inputs!$B$7:$B$51, MATCH($A13, Inputs!$A$7:$A$51, 0)),"")</f>
        <v/>
      </c>
      <c r="E13" s="26">
        <f>IF($D13="","",IF(AND(INDEX(Indicators!$Q$2:$Q$46, MATCH($A13, Indicators!$A$2:$A$46, 0))="",INDEX(Indicators!$R$2:$R$46, MATCH($A13, Indicators!$A$2:$A$46, 0))=""),$D13,IF(INDEX(Indicators!$Q$2:$Q$46, MATCH($A13, Indicators!$A$2:$A$46, 0))="",MIN($D13,INDEX(Indicators!$R$2:$R$46, MATCH($A13, Indicators!$A$2:$A$46, 0))),IF(INDEX(Indicators!$R$2:$R$46, MATCH($A13, Indicators!$A$2:$A$46, 0))="",MAX($D13,INDEX(Indicators!$Q$2:$Q$46, MATCH($A13, Indicators!$A$2:$A$46, 0))),MIN(MAX($D13,INDEX(Indicators!$Q$2:$Q$46, MATCH($A13, Indicators!$A$2:$A$46, 0))),INDEX(Indicators!$R$2:$R$46, MATCH($A13, Indicators!$A$2:$A$46, 0)))))))</f>
        <v/>
      </c>
      <c r="F13" s="26">
        <f>IF($E13="","",IF(INDEX(Indicators!$I$2:$I$46, MATCH($A13, Indicators!$A$2:$A$46, 0))="TargetBand",IF(AND($E13&gt;=INDEX(Indicators!$N$2:$N$46, MATCH($A13, Indicators!$A$2:$A$46, 0)),$E13&lt;=INDEX(Indicators!$O$2:$O$46, MATCH($A13, Indicators!$A$2:$A$46, 0))),100,IF($E13&lt;INDEX(Indicators!$N$2:$N$46, MATCH($A13, Indicators!$A$2:$A$46, 0)),MAX(0,MIN(100,($E13-INDEX(Indicators!$M$2:$M$46, MATCH($A13, Indicators!$A$2:$A$46, 0)))/(INDEX(Indicators!$N$2:$N$46, MATCH($A13, Indicators!$A$2:$A$46, 0))-INDEX(Indicators!$M$2:$M$46, MATCH($A13, Indicators!$A$2:$A$46, 0)))*100)),MAX(0,MIN(100,(INDEX(Indicators!$P$2:$P$46, MATCH($A13, Indicators!$A$2:$A$46, 0))-$E13)/(INDEX(Indicators!$P$2:$P$46, MATCH($A13, Indicators!$A$2:$A$46, 0))-INDEX(Indicators!$O$2:$O$46, MATCH($A13, Indicators!$A$2:$A$46, 0)))*100)))),IF(INDEX(Indicators!$J$2:$J$46, MATCH($A13, Indicators!$A$2:$A$46, 0))="HigherBetter",MAX(0,MIN(100,($E13-INDEX(Indicators!$L$2:$L$46, MATCH($A13, Indicators!$A$2:$A$46, 0)))/(INDEX(Indicators!$K$2:$K$46, MATCH($A13, Indicators!$A$2:$A$46, 0))-INDEX(Indicators!$L$2:$L$46, MATCH($A13, Indicators!$A$2:$A$46, 0)))*100)),IF(INDEX(Indicators!$J$2:$J$46, MATCH($A13, Indicators!$A$2:$A$46, 0))="LowerBetter",MAX(0,MIN(100,(INDEX(Indicators!$L$2:$L$46, MATCH($A13, Indicators!$A$2:$A$46, 0))-$E13)/(INDEX(Indicators!$L$2:$L$46, MATCH($A13, Indicators!$A$2:$A$46, 0))-INDEX(Indicators!$K$2:$K$46, MATCH($A13, Indicators!$A$2:$A$46, 0)))*100)),""))))</f>
        <v/>
      </c>
      <c r="G13" s="26">
        <f>IFERROR(INDEX(Indicators!$S$2:$S$46, MATCH($A13, Indicators!$A$2:$A$46, 0)),"")</f>
        <v/>
      </c>
      <c r="H13" s="26">
        <f>IF($F13="","",$F13*$G13)</f>
        <v/>
      </c>
      <c r="I13" s="26">
        <f>IFERROR(INDEX(Indicators!$G$2:$G$46, MATCH($A13, Indicators!$A$2:$A$46, 0)),"")</f>
        <v/>
      </c>
    </row>
    <row r="14" ht="68.25" customHeight="1" s="62">
      <c r="A14" s="26" t="inlineStr">
        <is>
          <t>CORE_CPI_YOY</t>
        </is>
      </c>
      <c r="B14" s="26">
        <f>INDEX(Indicators!$C$2:$C$46, MATCH($A14, Indicators!$A$2:$A$46, 0))</f>
        <v/>
      </c>
      <c r="C14" s="26">
        <f>INDEX(Indicators!$B$2:$B$46, MATCH($A14, Indicators!$A$2:$A$46, 0))</f>
        <v/>
      </c>
      <c r="D14" s="26">
        <f>IFERROR(INDEX(Inputs!$B$7:$B$51, MATCH($A14, Inputs!$A$7:$A$51, 0)),"")</f>
        <v/>
      </c>
      <c r="E14" s="26">
        <f>IF($D14="","",IF(AND(INDEX(Indicators!$Q$2:$Q$46, MATCH($A14, Indicators!$A$2:$A$46, 0))="",INDEX(Indicators!$R$2:$R$46, MATCH($A14, Indicators!$A$2:$A$46, 0))=""),$D14,IF(INDEX(Indicators!$Q$2:$Q$46, MATCH($A14, Indicators!$A$2:$A$46, 0))="",MIN($D14,INDEX(Indicators!$R$2:$R$46, MATCH($A14, Indicators!$A$2:$A$46, 0))),IF(INDEX(Indicators!$R$2:$R$46, MATCH($A14, Indicators!$A$2:$A$46, 0))="",MAX($D14,INDEX(Indicators!$Q$2:$Q$46, MATCH($A14, Indicators!$A$2:$A$46, 0))),MIN(MAX($D14,INDEX(Indicators!$Q$2:$Q$46, MATCH($A14, Indicators!$A$2:$A$46, 0))),INDEX(Indicators!$R$2:$R$46, MATCH($A14, Indicators!$A$2:$A$46, 0)))))))</f>
        <v/>
      </c>
      <c r="F14" s="26">
        <f>IF($E14="","",IF(INDEX(Indicators!$I$2:$I$46, MATCH($A14, Indicators!$A$2:$A$46, 0))="TargetBand",IF(AND($E14&gt;=INDEX(Indicators!$N$2:$N$46, MATCH($A14, Indicators!$A$2:$A$46, 0)),$E14&lt;=INDEX(Indicators!$O$2:$O$46, MATCH($A14, Indicators!$A$2:$A$46, 0))),100,IF($E14&lt;INDEX(Indicators!$N$2:$N$46, MATCH($A14, Indicators!$A$2:$A$46, 0)),MAX(0,MIN(100,($E14-INDEX(Indicators!$M$2:$M$46, MATCH($A14, Indicators!$A$2:$A$46, 0)))/(INDEX(Indicators!$N$2:$N$46, MATCH($A14, Indicators!$A$2:$A$46, 0))-INDEX(Indicators!$M$2:$M$46, MATCH($A14, Indicators!$A$2:$A$46, 0)))*100)),MAX(0,MIN(100,(INDEX(Indicators!$P$2:$P$46, MATCH($A14, Indicators!$A$2:$A$46, 0))-$E14)/(INDEX(Indicators!$P$2:$P$46, MATCH($A14, Indicators!$A$2:$A$46, 0))-INDEX(Indicators!$O$2:$O$46, MATCH($A14, Indicators!$A$2:$A$46, 0)))*100)))),IF(INDEX(Indicators!$J$2:$J$46, MATCH($A14, Indicators!$A$2:$A$46, 0))="HigherBetter",MAX(0,MIN(100,($E14-INDEX(Indicators!$L$2:$L$46, MATCH($A14, Indicators!$A$2:$A$46, 0)))/(INDEX(Indicators!$K$2:$K$46, MATCH($A14, Indicators!$A$2:$A$46, 0))-INDEX(Indicators!$L$2:$L$46, MATCH($A14, Indicators!$A$2:$A$46, 0)))*100)),IF(INDEX(Indicators!$J$2:$J$46, MATCH($A14, Indicators!$A$2:$A$46, 0))="LowerBetter",MAX(0,MIN(100,(INDEX(Indicators!$L$2:$L$46, MATCH($A14, Indicators!$A$2:$A$46, 0))-$E14)/(INDEX(Indicators!$L$2:$L$46, MATCH($A14, Indicators!$A$2:$A$46, 0))-INDEX(Indicators!$K$2:$K$46, MATCH($A14, Indicators!$A$2:$A$46, 0)))*100)),""))))</f>
        <v/>
      </c>
      <c r="G14" s="26">
        <f>IFERROR(INDEX(Indicators!$S$2:$S$46, MATCH($A14, Indicators!$A$2:$A$46, 0)),"")</f>
        <v/>
      </c>
      <c r="H14" s="26">
        <f>IF($F14="","",$F14*$G14)</f>
        <v/>
      </c>
      <c r="I14" s="26">
        <f>IFERROR(INDEX(Indicators!$G$2:$G$46, MATCH($A14, Indicators!$A$2:$A$46, 0)),"")</f>
        <v/>
      </c>
    </row>
    <row r="15" ht="68.25" customHeight="1" s="62">
      <c r="A15" s="26" t="inlineStr">
        <is>
          <t>CORE_PCE_YOY</t>
        </is>
      </c>
      <c r="B15" s="26">
        <f>INDEX(Indicators!$C$2:$C$46, MATCH($A15, Indicators!$A$2:$A$46, 0))</f>
        <v/>
      </c>
      <c r="C15" s="26">
        <f>INDEX(Indicators!$B$2:$B$46, MATCH($A15, Indicators!$A$2:$A$46, 0))</f>
        <v/>
      </c>
      <c r="D15" s="26">
        <f>IFERROR(INDEX(Inputs!$B$7:$B$51, MATCH($A15, Inputs!$A$7:$A$51, 0)),"")</f>
        <v/>
      </c>
      <c r="E15" s="26">
        <f>IF($D15="","",IF(AND(INDEX(Indicators!$Q$2:$Q$46, MATCH($A15, Indicators!$A$2:$A$46, 0))="",INDEX(Indicators!$R$2:$R$46, MATCH($A15, Indicators!$A$2:$A$46, 0))=""),$D15,IF(INDEX(Indicators!$Q$2:$Q$46, MATCH($A15, Indicators!$A$2:$A$46, 0))="",MIN($D15,INDEX(Indicators!$R$2:$R$46, MATCH($A15, Indicators!$A$2:$A$46, 0))),IF(INDEX(Indicators!$R$2:$R$46, MATCH($A15, Indicators!$A$2:$A$46, 0))="",MAX($D15,INDEX(Indicators!$Q$2:$Q$46, MATCH($A15, Indicators!$A$2:$A$46, 0))),MIN(MAX($D15,INDEX(Indicators!$Q$2:$Q$46, MATCH($A15, Indicators!$A$2:$A$46, 0))),INDEX(Indicators!$R$2:$R$46, MATCH($A15, Indicators!$A$2:$A$46, 0)))))))</f>
        <v/>
      </c>
      <c r="F15" s="26">
        <f>IF($E15="","",IF(INDEX(Indicators!$I$2:$I$46, MATCH($A15, Indicators!$A$2:$A$46, 0))="TargetBand",IF(AND($E15&gt;=INDEX(Indicators!$N$2:$N$46, MATCH($A15, Indicators!$A$2:$A$46, 0)),$E15&lt;=INDEX(Indicators!$O$2:$O$46, MATCH($A15, Indicators!$A$2:$A$46, 0))),100,IF($E15&lt;INDEX(Indicators!$N$2:$N$46, MATCH($A15, Indicators!$A$2:$A$46, 0)),MAX(0,MIN(100,($E15-INDEX(Indicators!$M$2:$M$46, MATCH($A15, Indicators!$A$2:$A$46, 0)))/(INDEX(Indicators!$N$2:$N$46, MATCH($A15, Indicators!$A$2:$A$46, 0))-INDEX(Indicators!$M$2:$M$46, MATCH($A15, Indicators!$A$2:$A$46, 0)))*100)),MAX(0,MIN(100,(INDEX(Indicators!$P$2:$P$46, MATCH($A15, Indicators!$A$2:$A$46, 0))-$E15)/(INDEX(Indicators!$P$2:$P$46, MATCH($A15, Indicators!$A$2:$A$46, 0))-INDEX(Indicators!$O$2:$O$46, MATCH($A15, Indicators!$A$2:$A$46, 0)))*100)))),IF(INDEX(Indicators!$J$2:$J$46, MATCH($A15, Indicators!$A$2:$A$46, 0))="HigherBetter",MAX(0,MIN(100,($E15-INDEX(Indicators!$L$2:$L$46, MATCH($A15, Indicators!$A$2:$A$46, 0)))/(INDEX(Indicators!$K$2:$K$46, MATCH($A15, Indicators!$A$2:$A$46, 0))-INDEX(Indicators!$L$2:$L$46, MATCH($A15, Indicators!$A$2:$A$46, 0)))*100)),IF(INDEX(Indicators!$J$2:$J$46, MATCH($A15, Indicators!$A$2:$A$46, 0))="LowerBetter",MAX(0,MIN(100,(INDEX(Indicators!$L$2:$L$46, MATCH($A15, Indicators!$A$2:$A$46, 0))-$E15)/(INDEX(Indicators!$L$2:$L$46, MATCH($A15, Indicators!$A$2:$A$46, 0))-INDEX(Indicators!$K$2:$K$46, MATCH($A15, Indicators!$A$2:$A$46, 0)))*100)),""))))</f>
        <v/>
      </c>
      <c r="G15" s="26">
        <f>IFERROR(INDEX(Indicators!$S$2:$S$46, MATCH($A15, Indicators!$A$2:$A$46, 0)),"")</f>
        <v/>
      </c>
      <c r="H15" s="26">
        <f>IF($F15="","",$F15*$G15)</f>
        <v/>
      </c>
      <c r="I15" s="26">
        <f>IFERROR(INDEX(Indicators!$G$2:$G$46, MATCH($A15, Indicators!$A$2:$A$46, 0)),"")</f>
        <v/>
      </c>
    </row>
    <row r="16" ht="68.25" customHeight="1" s="62">
      <c r="A16" s="26" t="inlineStr">
        <is>
          <t>BREAKEVEN_5Y5Y</t>
        </is>
      </c>
      <c r="B16" s="26">
        <f>INDEX(Indicators!$C$2:$C$46, MATCH($A16, Indicators!$A$2:$A$46, 0))</f>
        <v/>
      </c>
      <c r="C16" s="26">
        <f>INDEX(Indicators!$B$2:$B$46, MATCH($A16, Indicators!$A$2:$A$46, 0))</f>
        <v/>
      </c>
      <c r="D16" s="26">
        <f>IFERROR(INDEX(Inputs!$B$7:$B$51, MATCH($A16, Inputs!$A$7:$A$51, 0)),"")</f>
        <v/>
      </c>
      <c r="E16" s="26">
        <f>IF($D16="","",IF(AND(INDEX(Indicators!$Q$2:$Q$46, MATCH($A16, Indicators!$A$2:$A$46, 0))="",INDEX(Indicators!$R$2:$R$46, MATCH($A16, Indicators!$A$2:$A$46, 0))=""),$D16,IF(INDEX(Indicators!$Q$2:$Q$46, MATCH($A16, Indicators!$A$2:$A$46, 0))="",MIN($D16,INDEX(Indicators!$R$2:$R$46, MATCH($A16, Indicators!$A$2:$A$46, 0))),IF(INDEX(Indicators!$R$2:$R$46, MATCH($A16, Indicators!$A$2:$A$46, 0))="",MAX($D16,INDEX(Indicators!$Q$2:$Q$46, MATCH($A16, Indicators!$A$2:$A$46, 0))),MIN(MAX($D16,INDEX(Indicators!$Q$2:$Q$46, MATCH($A16, Indicators!$A$2:$A$46, 0))),INDEX(Indicators!$R$2:$R$46, MATCH($A16, Indicators!$A$2:$A$46, 0)))))))</f>
        <v/>
      </c>
      <c r="F16" s="26">
        <f>IF($E16="","",IF(INDEX(Indicators!$I$2:$I$46, MATCH($A16, Indicators!$A$2:$A$46, 0))="TargetBand",IF(AND($E16&gt;=INDEX(Indicators!$N$2:$N$46, MATCH($A16, Indicators!$A$2:$A$46, 0)),$E16&lt;=INDEX(Indicators!$O$2:$O$46, MATCH($A16, Indicators!$A$2:$A$46, 0))),100,IF($E16&lt;INDEX(Indicators!$N$2:$N$46, MATCH($A16, Indicators!$A$2:$A$46, 0)),MAX(0,MIN(100,($E16-INDEX(Indicators!$M$2:$M$46, MATCH($A16, Indicators!$A$2:$A$46, 0)))/(INDEX(Indicators!$N$2:$N$46, MATCH($A16, Indicators!$A$2:$A$46, 0))-INDEX(Indicators!$M$2:$M$46, MATCH($A16, Indicators!$A$2:$A$46, 0)))*100)),MAX(0,MIN(100,(INDEX(Indicators!$P$2:$P$46, MATCH($A16, Indicators!$A$2:$A$46, 0))-$E16)/(INDEX(Indicators!$P$2:$P$46, MATCH($A16, Indicators!$A$2:$A$46, 0))-INDEX(Indicators!$O$2:$O$46, MATCH($A16, Indicators!$A$2:$A$46, 0)))*100)))),IF(INDEX(Indicators!$J$2:$J$46, MATCH($A16, Indicators!$A$2:$A$46, 0))="HigherBetter",MAX(0,MIN(100,($E16-INDEX(Indicators!$L$2:$L$46, MATCH($A16, Indicators!$A$2:$A$46, 0)))/(INDEX(Indicators!$K$2:$K$46, MATCH($A16, Indicators!$A$2:$A$46, 0))-INDEX(Indicators!$L$2:$L$46, MATCH($A16, Indicators!$A$2:$A$46, 0)))*100)),IF(INDEX(Indicators!$J$2:$J$46, MATCH($A16, Indicators!$A$2:$A$46, 0))="LowerBetter",MAX(0,MIN(100,(INDEX(Indicators!$L$2:$L$46, MATCH($A16, Indicators!$A$2:$A$46, 0))-$E16)/(INDEX(Indicators!$L$2:$L$46, MATCH($A16, Indicators!$A$2:$A$46, 0))-INDEX(Indicators!$K$2:$K$46, MATCH($A16, Indicators!$A$2:$A$46, 0)))*100)),""))))</f>
        <v/>
      </c>
      <c r="G16" s="26">
        <f>IFERROR(INDEX(Indicators!$S$2:$S$46, MATCH($A16, Indicators!$A$2:$A$46, 0)),"")</f>
        <v/>
      </c>
      <c r="H16" s="26">
        <f>IF($F16="","",$F16*$G16)</f>
        <v/>
      </c>
      <c r="I16" s="26">
        <f>IFERROR(INDEX(Indicators!$G$2:$G$46, MATCH($A16, Indicators!$A$2:$A$46, 0)),"")</f>
        <v/>
      </c>
    </row>
    <row r="17" ht="68.25" customHeight="1" s="62">
      <c r="A17" s="26" t="inlineStr">
        <is>
          <t>UNRATE</t>
        </is>
      </c>
      <c r="B17" s="26">
        <f>INDEX(Indicators!$C$2:$C$46, MATCH($A17, Indicators!$A$2:$A$46, 0))</f>
        <v/>
      </c>
      <c r="C17" s="26">
        <f>INDEX(Indicators!$B$2:$B$46, MATCH($A17, Indicators!$A$2:$A$46, 0))</f>
        <v/>
      </c>
      <c r="D17" s="26">
        <f>IFERROR(INDEX(Inputs!$B$7:$B$51, MATCH($A17, Inputs!$A$7:$A$51, 0)),"")</f>
        <v/>
      </c>
      <c r="E17" s="26">
        <f>IF($D17="","",IF(AND(INDEX(Indicators!$Q$2:$Q$46, MATCH($A17, Indicators!$A$2:$A$46, 0))="",INDEX(Indicators!$R$2:$R$46, MATCH($A17, Indicators!$A$2:$A$46, 0))=""),$D17,IF(INDEX(Indicators!$Q$2:$Q$46, MATCH($A17, Indicators!$A$2:$A$46, 0))="",MIN($D17,INDEX(Indicators!$R$2:$R$46, MATCH($A17, Indicators!$A$2:$A$46, 0))),IF(INDEX(Indicators!$R$2:$R$46, MATCH($A17, Indicators!$A$2:$A$46, 0))="",MAX($D17,INDEX(Indicators!$Q$2:$Q$46, MATCH($A17, Indicators!$A$2:$A$46, 0))),MIN(MAX($D17,INDEX(Indicators!$Q$2:$Q$46, MATCH($A17, Indicators!$A$2:$A$46, 0))),INDEX(Indicators!$R$2:$R$46, MATCH($A17, Indicators!$A$2:$A$46, 0)))))))</f>
        <v/>
      </c>
      <c r="F17" s="26">
        <f>IF($E17="","",IF(INDEX(Indicators!$I$2:$I$46, MATCH($A17, Indicators!$A$2:$A$46, 0))="TargetBand",IF(AND($E17&gt;=INDEX(Indicators!$N$2:$N$46, MATCH($A17, Indicators!$A$2:$A$46, 0)),$E17&lt;=INDEX(Indicators!$O$2:$O$46, MATCH($A17, Indicators!$A$2:$A$46, 0))),100,IF($E17&lt;INDEX(Indicators!$N$2:$N$46, MATCH($A17, Indicators!$A$2:$A$46, 0)),MAX(0,MIN(100,($E17-INDEX(Indicators!$M$2:$M$46, MATCH($A17, Indicators!$A$2:$A$46, 0)))/(INDEX(Indicators!$N$2:$N$46, MATCH($A17, Indicators!$A$2:$A$46, 0))-INDEX(Indicators!$M$2:$M$46, MATCH($A17, Indicators!$A$2:$A$46, 0)))*100)),MAX(0,MIN(100,(INDEX(Indicators!$P$2:$P$46, MATCH($A17, Indicators!$A$2:$A$46, 0))-$E17)/(INDEX(Indicators!$P$2:$P$46, MATCH($A17, Indicators!$A$2:$A$46, 0))-INDEX(Indicators!$O$2:$O$46, MATCH($A17, Indicators!$A$2:$A$46, 0)))*100)))),IF(INDEX(Indicators!$J$2:$J$46, MATCH($A17, Indicators!$A$2:$A$46, 0))="HigherBetter",MAX(0,MIN(100,($E17-INDEX(Indicators!$L$2:$L$46, MATCH($A17, Indicators!$A$2:$A$46, 0)))/(INDEX(Indicators!$K$2:$K$46, MATCH($A17, Indicators!$A$2:$A$46, 0))-INDEX(Indicators!$L$2:$L$46, MATCH($A17, Indicators!$A$2:$A$46, 0)))*100)),IF(INDEX(Indicators!$J$2:$J$46, MATCH($A17, Indicators!$A$2:$A$46, 0))="LowerBetter",MAX(0,MIN(100,(INDEX(Indicators!$L$2:$L$46, MATCH($A17, Indicators!$A$2:$A$46, 0))-$E17)/(INDEX(Indicators!$L$2:$L$46, MATCH($A17, Indicators!$A$2:$A$46, 0))-INDEX(Indicators!$K$2:$K$46, MATCH($A17, Indicators!$A$2:$A$46, 0)))*100)),""))))</f>
        <v/>
      </c>
      <c r="G17" s="26">
        <f>IFERROR(INDEX(Indicators!$S$2:$S$46, MATCH($A17, Indicators!$A$2:$A$46, 0)),"")</f>
        <v/>
      </c>
      <c r="H17" s="26">
        <f>IF($F17="","",$F17*$G17)</f>
        <v/>
      </c>
      <c r="I17" s="26">
        <f>IFERROR(INDEX(Indicators!$G$2:$G$46, MATCH($A17, Indicators!$A$2:$A$46, 0)),"")</f>
        <v/>
      </c>
    </row>
    <row r="18" ht="79.5" customHeight="1" s="62">
      <c r="A18" s="26" t="inlineStr">
        <is>
          <t>WAGE_GROWTH</t>
        </is>
      </c>
      <c r="B18" s="26">
        <f>INDEX(Indicators!$C$2:$C$46, MATCH($A18, Indicators!$A$2:$A$46, 0))</f>
        <v/>
      </c>
      <c r="C18" s="26">
        <f>INDEX(Indicators!$B$2:$B$46, MATCH($A18, Indicators!$A$2:$A$46, 0))</f>
        <v/>
      </c>
      <c r="D18" s="26">
        <f>IFERROR(INDEX(Inputs!$B$7:$B$51, MATCH($A18, Inputs!$A$7:$A$51, 0)),"")</f>
        <v/>
      </c>
      <c r="E18" s="26">
        <f>IF($D18="","",IF(AND(INDEX(Indicators!$Q$2:$Q$46, MATCH($A18, Indicators!$A$2:$A$46, 0))="",INDEX(Indicators!$R$2:$R$46, MATCH($A18, Indicators!$A$2:$A$46, 0))=""),$D18,IF(INDEX(Indicators!$Q$2:$Q$46, MATCH($A18, Indicators!$A$2:$A$46, 0))="",MIN($D18,INDEX(Indicators!$R$2:$R$46, MATCH($A18, Indicators!$A$2:$A$46, 0))),IF(INDEX(Indicators!$R$2:$R$46, MATCH($A18, Indicators!$A$2:$A$46, 0))="",MAX($D18,INDEX(Indicators!$Q$2:$Q$46, MATCH($A18, Indicators!$A$2:$A$46, 0))),MIN(MAX($D18,INDEX(Indicators!$Q$2:$Q$46, MATCH($A18, Indicators!$A$2:$A$46, 0))),INDEX(Indicators!$R$2:$R$46, MATCH($A18, Indicators!$A$2:$A$46, 0)))))))</f>
        <v/>
      </c>
      <c r="F18" s="26">
        <f>IF($E18="","",IF(INDEX(Indicators!$I$2:$I$46, MATCH($A18, Indicators!$A$2:$A$46, 0))="TargetBand",IF(AND($E18&gt;=INDEX(Indicators!$N$2:$N$46, MATCH($A18, Indicators!$A$2:$A$46, 0)),$E18&lt;=INDEX(Indicators!$O$2:$O$46, MATCH($A18, Indicators!$A$2:$A$46, 0))),100,IF($E18&lt;INDEX(Indicators!$N$2:$N$46, MATCH($A18, Indicators!$A$2:$A$46, 0)),MAX(0,MIN(100,($E18-INDEX(Indicators!$M$2:$M$46, MATCH($A18, Indicators!$A$2:$A$46, 0)))/(INDEX(Indicators!$N$2:$N$46, MATCH($A18, Indicators!$A$2:$A$46, 0))-INDEX(Indicators!$M$2:$M$46, MATCH($A18, Indicators!$A$2:$A$46, 0)))*100)),MAX(0,MIN(100,(INDEX(Indicators!$P$2:$P$46, MATCH($A18, Indicators!$A$2:$A$46, 0))-$E18)/(INDEX(Indicators!$P$2:$P$46, MATCH($A18, Indicators!$A$2:$A$46, 0))-INDEX(Indicators!$O$2:$O$46, MATCH($A18, Indicators!$A$2:$A$46, 0)))*100)))),IF(INDEX(Indicators!$J$2:$J$46, MATCH($A18, Indicators!$A$2:$A$46, 0))="HigherBetter",MAX(0,MIN(100,($E18-INDEX(Indicators!$L$2:$L$46, MATCH($A18, Indicators!$A$2:$A$46, 0)))/(INDEX(Indicators!$K$2:$K$46, MATCH($A18, Indicators!$A$2:$A$46, 0))-INDEX(Indicators!$L$2:$L$46, MATCH($A18, Indicators!$A$2:$A$46, 0)))*100)),IF(INDEX(Indicators!$J$2:$J$46, MATCH($A18, Indicators!$A$2:$A$46, 0))="LowerBetter",MAX(0,MIN(100,(INDEX(Indicators!$L$2:$L$46, MATCH($A18, Indicators!$A$2:$A$46, 0))-$E18)/(INDEX(Indicators!$L$2:$L$46, MATCH($A18, Indicators!$A$2:$A$46, 0))-INDEX(Indicators!$K$2:$K$46, MATCH($A18, Indicators!$A$2:$A$46, 0)))*100)),""))))</f>
        <v/>
      </c>
      <c r="G18" s="26">
        <f>IFERROR(INDEX(Indicators!$S$2:$S$46, MATCH($A18, Indicators!$A$2:$A$46, 0)),"")</f>
        <v/>
      </c>
      <c r="H18" s="26">
        <f>IF($F18="","",$F18*$G18)</f>
        <v/>
      </c>
      <c r="I18" s="26">
        <f>IFERROR(INDEX(Indicators!$G$2:$G$46, MATCH($A18, Indicators!$A$2:$A$46, 0)),"")</f>
        <v/>
      </c>
    </row>
    <row r="19" ht="79.5" customHeight="1" s="62">
      <c r="A19" s="26" t="inlineStr">
        <is>
          <t>CC_DELINQ</t>
        </is>
      </c>
      <c r="B19" s="26">
        <f>INDEX(Indicators!$C$2:$C$46, MATCH($A19, Indicators!$A$2:$A$46, 0))</f>
        <v/>
      </c>
      <c r="C19" s="26">
        <f>INDEX(Indicators!$B$2:$B$46, MATCH($A19, Indicators!$A$2:$A$46, 0))</f>
        <v/>
      </c>
      <c r="D19" s="26">
        <f>IFERROR(INDEX(Inputs!$B$7:$B$51, MATCH($A19, Inputs!$A$7:$A$51, 0)),"")</f>
        <v/>
      </c>
      <c r="E19" s="26">
        <f>IF($D19="","",IF(AND(INDEX(Indicators!$Q$2:$Q$46, MATCH($A19, Indicators!$A$2:$A$46, 0))="",INDEX(Indicators!$R$2:$R$46, MATCH($A19, Indicators!$A$2:$A$46, 0))=""),$D19,IF(INDEX(Indicators!$Q$2:$Q$46, MATCH($A19, Indicators!$A$2:$A$46, 0))="",MIN($D19,INDEX(Indicators!$R$2:$R$46, MATCH($A19, Indicators!$A$2:$A$46, 0))),IF(INDEX(Indicators!$R$2:$R$46, MATCH($A19, Indicators!$A$2:$A$46, 0))="",MAX($D19,INDEX(Indicators!$Q$2:$Q$46, MATCH($A19, Indicators!$A$2:$A$46, 0))),MIN(MAX($D19,INDEX(Indicators!$Q$2:$Q$46, MATCH($A19, Indicators!$A$2:$A$46, 0))),INDEX(Indicators!$R$2:$R$46, MATCH($A19, Indicators!$A$2:$A$46, 0)))))))</f>
        <v/>
      </c>
      <c r="F19" s="26">
        <f>IF($E19="","",IF(INDEX(Indicators!$I$2:$I$46, MATCH($A19, Indicators!$A$2:$A$46, 0))="TargetBand",IF(AND($E19&gt;=INDEX(Indicators!$N$2:$N$46, MATCH($A19, Indicators!$A$2:$A$46, 0)),$E19&lt;=INDEX(Indicators!$O$2:$O$46, MATCH($A19, Indicators!$A$2:$A$46, 0))),100,IF($E19&lt;INDEX(Indicators!$N$2:$N$46, MATCH($A19, Indicators!$A$2:$A$46, 0)),MAX(0,MIN(100,($E19-INDEX(Indicators!$M$2:$M$46, MATCH($A19, Indicators!$A$2:$A$46, 0)))/(INDEX(Indicators!$N$2:$N$46, MATCH($A19, Indicators!$A$2:$A$46, 0))-INDEX(Indicators!$M$2:$M$46, MATCH($A19, Indicators!$A$2:$A$46, 0)))*100)),MAX(0,MIN(100,(INDEX(Indicators!$P$2:$P$46, MATCH($A19, Indicators!$A$2:$A$46, 0))-$E19)/(INDEX(Indicators!$P$2:$P$46, MATCH($A19, Indicators!$A$2:$A$46, 0))-INDEX(Indicators!$O$2:$O$46, MATCH($A19, Indicators!$A$2:$A$46, 0)))*100)))),IF(INDEX(Indicators!$J$2:$J$46, MATCH($A19, Indicators!$A$2:$A$46, 0))="HigherBetter",MAX(0,MIN(100,($E19-INDEX(Indicators!$L$2:$L$46, MATCH($A19, Indicators!$A$2:$A$46, 0)))/(INDEX(Indicators!$K$2:$K$46, MATCH($A19, Indicators!$A$2:$A$46, 0))-INDEX(Indicators!$L$2:$L$46, MATCH($A19, Indicators!$A$2:$A$46, 0)))*100)),IF(INDEX(Indicators!$J$2:$J$46, MATCH($A19, Indicators!$A$2:$A$46, 0))="LowerBetter",MAX(0,MIN(100,(INDEX(Indicators!$L$2:$L$46, MATCH($A19, Indicators!$A$2:$A$46, 0))-$E19)/(INDEX(Indicators!$L$2:$L$46, MATCH($A19, Indicators!$A$2:$A$46, 0))-INDEX(Indicators!$K$2:$K$46, MATCH($A19, Indicators!$A$2:$A$46, 0)))*100)),""))))</f>
        <v/>
      </c>
      <c r="G19" s="26">
        <f>IFERROR(INDEX(Indicators!$S$2:$S$46, MATCH($A19, Indicators!$A$2:$A$46, 0)),"")</f>
        <v/>
      </c>
      <c r="H19" s="26">
        <f>IF($F19="","",$F19*$G19)</f>
        <v/>
      </c>
      <c r="I19" s="26">
        <f>IFERROR(INDEX(Indicators!$G$2:$G$46, MATCH($A19, Indicators!$A$2:$A$46, 0)),"")</f>
        <v/>
      </c>
    </row>
    <row r="20" ht="68.25" customHeight="1" s="62">
      <c r="A20" s="26" t="inlineStr">
        <is>
          <t>REAL_DISP_INC</t>
        </is>
      </c>
      <c r="B20" s="26">
        <f>INDEX(Indicators!$C$2:$C$46, MATCH($A20, Indicators!$A$2:$A$46, 0))</f>
        <v/>
      </c>
      <c r="C20" s="26">
        <f>INDEX(Indicators!$B$2:$B$46, MATCH($A20, Indicators!$A$2:$A$46, 0))</f>
        <v/>
      </c>
      <c r="D20" s="26">
        <f>IFERROR(INDEX(Inputs!$B$7:$B$51, MATCH($A20, Inputs!$A$7:$A$51, 0)),"")</f>
        <v/>
      </c>
      <c r="E20" s="26">
        <f>IF($D20="","",IF(AND(INDEX(Indicators!$Q$2:$Q$46, MATCH($A20, Indicators!$A$2:$A$46, 0))="",INDEX(Indicators!$R$2:$R$46, MATCH($A20, Indicators!$A$2:$A$46, 0))=""),$D20,IF(INDEX(Indicators!$Q$2:$Q$46, MATCH($A20, Indicators!$A$2:$A$46, 0))="",MIN($D20,INDEX(Indicators!$R$2:$R$46, MATCH($A20, Indicators!$A$2:$A$46, 0))),IF(INDEX(Indicators!$R$2:$R$46, MATCH($A20, Indicators!$A$2:$A$46, 0))="",MAX($D20,INDEX(Indicators!$Q$2:$Q$46, MATCH($A20, Indicators!$A$2:$A$46, 0))),MIN(MAX($D20,INDEX(Indicators!$Q$2:$Q$46, MATCH($A20, Indicators!$A$2:$A$46, 0))),INDEX(Indicators!$R$2:$R$46, MATCH($A20, Indicators!$A$2:$A$46, 0)))))))</f>
        <v/>
      </c>
      <c r="F20" s="26">
        <f>IF($E20="","",IF(INDEX(Indicators!$I$2:$I$46, MATCH($A20, Indicators!$A$2:$A$46, 0))="TargetBand",IF(AND($E20&gt;=INDEX(Indicators!$N$2:$N$46, MATCH($A20, Indicators!$A$2:$A$46, 0)),$E20&lt;=INDEX(Indicators!$O$2:$O$46, MATCH($A20, Indicators!$A$2:$A$46, 0))),100,IF($E20&lt;INDEX(Indicators!$N$2:$N$46, MATCH($A20, Indicators!$A$2:$A$46, 0)),MAX(0,MIN(100,($E20-INDEX(Indicators!$M$2:$M$46, MATCH($A20, Indicators!$A$2:$A$46, 0)))/(INDEX(Indicators!$N$2:$N$46, MATCH($A20, Indicators!$A$2:$A$46, 0))-INDEX(Indicators!$M$2:$M$46, MATCH($A20, Indicators!$A$2:$A$46, 0)))*100)),MAX(0,MIN(100,(INDEX(Indicators!$P$2:$P$46, MATCH($A20, Indicators!$A$2:$A$46, 0))-$E20)/(INDEX(Indicators!$P$2:$P$46, MATCH($A20, Indicators!$A$2:$A$46, 0))-INDEX(Indicators!$O$2:$O$46, MATCH($A20, Indicators!$A$2:$A$46, 0)))*100)))),IF(INDEX(Indicators!$J$2:$J$46, MATCH($A20, Indicators!$A$2:$A$46, 0))="HigherBetter",MAX(0,MIN(100,($E20-INDEX(Indicators!$L$2:$L$46, MATCH($A20, Indicators!$A$2:$A$46, 0)))/(INDEX(Indicators!$K$2:$K$46, MATCH($A20, Indicators!$A$2:$A$46, 0))-INDEX(Indicators!$L$2:$L$46, MATCH($A20, Indicators!$A$2:$A$46, 0)))*100)),IF(INDEX(Indicators!$J$2:$J$46, MATCH($A20, Indicators!$A$2:$A$46, 0))="LowerBetter",MAX(0,MIN(100,(INDEX(Indicators!$L$2:$L$46, MATCH($A20, Indicators!$A$2:$A$46, 0))-$E20)/(INDEX(Indicators!$L$2:$L$46, MATCH($A20, Indicators!$A$2:$A$46, 0))-INDEX(Indicators!$K$2:$K$46, MATCH($A20, Indicators!$A$2:$A$46, 0)))*100)),""))))</f>
        <v/>
      </c>
      <c r="G20" s="26">
        <f>IFERROR(INDEX(Indicators!$S$2:$S$46, MATCH($A20, Indicators!$A$2:$A$46, 0)),"")</f>
        <v/>
      </c>
      <c r="H20" s="26">
        <f>IF($F20="","",$F20*$G20)</f>
        <v/>
      </c>
      <c r="I20" s="26">
        <f>IFERROR(INDEX(Indicators!$G$2:$G$46, MATCH($A20, Indicators!$A$2:$A$46, 0)),"")</f>
        <v/>
      </c>
    </row>
    <row r="21" ht="32.25" customHeight="1" s="62">
      <c r="A21" s="26" t="inlineStr">
        <is>
          <t>SPX_FWD_PE</t>
        </is>
      </c>
      <c r="B21" s="26">
        <f>INDEX(Indicators!$C$2:$C$46, MATCH($A21, Indicators!$A$2:$A$46, 0))</f>
        <v/>
      </c>
      <c r="C21" s="26">
        <f>INDEX(Indicators!$B$2:$B$46, MATCH($A21, Indicators!$A$2:$A$46, 0))</f>
        <v/>
      </c>
      <c r="D21" s="26">
        <f>IFERROR(INDEX(Inputs!$B$7:$B$51, MATCH($A21, Inputs!$A$7:$A$51, 0)),"")</f>
        <v/>
      </c>
      <c r="E21" s="26">
        <f>IF($D21="","",IF(AND(INDEX(Indicators!$Q$2:$Q$46, MATCH($A21, Indicators!$A$2:$A$46, 0))="",INDEX(Indicators!$R$2:$R$46, MATCH($A21, Indicators!$A$2:$A$46, 0))=""),$D21,IF(INDEX(Indicators!$Q$2:$Q$46, MATCH($A21, Indicators!$A$2:$A$46, 0))="",MIN($D21,INDEX(Indicators!$R$2:$R$46, MATCH($A21, Indicators!$A$2:$A$46, 0))),IF(INDEX(Indicators!$R$2:$R$46, MATCH($A21, Indicators!$A$2:$A$46, 0))="",MAX($D21,INDEX(Indicators!$Q$2:$Q$46, MATCH($A21, Indicators!$A$2:$A$46, 0))),MIN(MAX($D21,INDEX(Indicators!$Q$2:$Q$46, MATCH($A21, Indicators!$A$2:$A$46, 0))),INDEX(Indicators!$R$2:$R$46, MATCH($A21, Indicators!$A$2:$A$46, 0)))))))</f>
        <v/>
      </c>
      <c r="F21" s="26">
        <f>IF($E21="","",IF(INDEX(Indicators!$I$2:$I$46, MATCH($A21, Indicators!$A$2:$A$46, 0))="TargetBand",IF(AND($E21&gt;=INDEX(Indicators!$N$2:$N$46, MATCH($A21, Indicators!$A$2:$A$46, 0)),$E21&lt;=INDEX(Indicators!$O$2:$O$46, MATCH($A21, Indicators!$A$2:$A$46, 0))),100,IF($E21&lt;INDEX(Indicators!$N$2:$N$46, MATCH($A21, Indicators!$A$2:$A$46, 0)),MAX(0,MIN(100,($E21-INDEX(Indicators!$M$2:$M$46, MATCH($A21, Indicators!$A$2:$A$46, 0)))/(INDEX(Indicators!$N$2:$N$46, MATCH($A21, Indicators!$A$2:$A$46, 0))-INDEX(Indicators!$M$2:$M$46, MATCH($A21, Indicators!$A$2:$A$46, 0)))*100)),MAX(0,MIN(100,(INDEX(Indicators!$P$2:$P$46, MATCH($A21, Indicators!$A$2:$A$46, 0))-$E21)/(INDEX(Indicators!$P$2:$P$46, MATCH($A21, Indicators!$A$2:$A$46, 0))-INDEX(Indicators!$O$2:$O$46, MATCH($A21, Indicators!$A$2:$A$46, 0)))*100)))),IF(INDEX(Indicators!$J$2:$J$46, MATCH($A21, Indicators!$A$2:$A$46, 0))="HigherBetter",MAX(0,MIN(100,($E21-INDEX(Indicators!$L$2:$L$46, MATCH($A21, Indicators!$A$2:$A$46, 0)))/(INDEX(Indicators!$K$2:$K$46, MATCH($A21, Indicators!$A$2:$A$46, 0))-INDEX(Indicators!$L$2:$L$46, MATCH($A21, Indicators!$A$2:$A$46, 0)))*100)),IF(INDEX(Indicators!$J$2:$J$46, MATCH($A21, Indicators!$A$2:$A$46, 0))="LowerBetter",MAX(0,MIN(100,(INDEX(Indicators!$L$2:$L$46, MATCH($A21, Indicators!$A$2:$A$46, 0))-$E21)/(INDEX(Indicators!$L$2:$L$46, MATCH($A21, Indicators!$A$2:$A$46, 0))-INDEX(Indicators!$K$2:$K$46, MATCH($A21, Indicators!$A$2:$A$46, 0)))*100)),""))))</f>
        <v/>
      </c>
      <c r="G21" s="26">
        <f>IFERROR(INDEX(Indicators!$S$2:$S$46, MATCH($A21, Indicators!$A$2:$A$46, 0)),"")</f>
        <v/>
      </c>
      <c r="H21" s="26">
        <f>IF($F21="","",$F21*$G21)</f>
        <v/>
      </c>
      <c r="I21" s="26">
        <f>IFERROR(INDEX(Indicators!$G$2:$G$46, MATCH($A21, Indicators!$A$2:$A$46, 0)),"")</f>
        <v/>
      </c>
    </row>
    <row r="22" ht="32.25" customHeight="1" s="62">
      <c r="A22" s="26" t="inlineStr">
        <is>
          <t>EPS_REV_BREADTH</t>
        </is>
      </c>
      <c r="B22" s="26">
        <f>INDEX(Indicators!$C$2:$C$46, MATCH($A22, Indicators!$A$2:$A$46, 0))</f>
        <v/>
      </c>
      <c r="C22" s="26">
        <f>INDEX(Indicators!$B$2:$B$46, MATCH($A22, Indicators!$A$2:$A$46, 0))</f>
        <v/>
      </c>
      <c r="D22" s="26">
        <f>IFERROR(INDEX(Inputs!$B$7:$B$51, MATCH($A22, Inputs!$A$7:$A$51, 0)),"")</f>
        <v/>
      </c>
      <c r="E22" s="26">
        <f>IF($D22="","",IF(AND(INDEX(Indicators!$Q$2:$Q$46, MATCH($A22, Indicators!$A$2:$A$46, 0))="",INDEX(Indicators!$R$2:$R$46, MATCH($A22, Indicators!$A$2:$A$46, 0))=""),$D22,IF(INDEX(Indicators!$Q$2:$Q$46, MATCH($A22, Indicators!$A$2:$A$46, 0))="",MIN($D22,INDEX(Indicators!$R$2:$R$46, MATCH($A22, Indicators!$A$2:$A$46, 0))),IF(INDEX(Indicators!$R$2:$R$46, MATCH($A22, Indicators!$A$2:$A$46, 0))="",MAX($D22,INDEX(Indicators!$Q$2:$Q$46, MATCH($A22, Indicators!$A$2:$A$46, 0))),MIN(MAX($D22,INDEX(Indicators!$Q$2:$Q$46, MATCH($A22, Indicators!$A$2:$A$46, 0))),INDEX(Indicators!$R$2:$R$46, MATCH($A22, Indicators!$A$2:$A$46, 0)))))))</f>
        <v/>
      </c>
      <c r="F22" s="26">
        <f>IF($E22="","",IF(INDEX(Indicators!$I$2:$I$46, MATCH($A22, Indicators!$A$2:$A$46, 0))="TargetBand",IF(AND($E22&gt;=INDEX(Indicators!$N$2:$N$46, MATCH($A22, Indicators!$A$2:$A$46, 0)),$E22&lt;=INDEX(Indicators!$O$2:$O$46, MATCH($A22, Indicators!$A$2:$A$46, 0))),100,IF($E22&lt;INDEX(Indicators!$N$2:$N$46, MATCH($A22, Indicators!$A$2:$A$46, 0)),MAX(0,MIN(100,($E22-INDEX(Indicators!$M$2:$M$46, MATCH($A22, Indicators!$A$2:$A$46, 0)))/(INDEX(Indicators!$N$2:$N$46, MATCH($A22, Indicators!$A$2:$A$46, 0))-INDEX(Indicators!$M$2:$M$46, MATCH($A22, Indicators!$A$2:$A$46, 0)))*100)),MAX(0,MIN(100,(INDEX(Indicators!$P$2:$P$46, MATCH($A22, Indicators!$A$2:$A$46, 0))-$E22)/(INDEX(Indicators!$P$2:$P$46, MATCH($A22, Indicators!$A$2:$A$46, 0))-INDEX(Indicators!$O$2:$O$46, MATCH($A22, Indicators!$A$2:$A$46, 0)))*100)))),IF(INDEX(Indicators!$J$2:$J$46, MATCH($A22, Indicators!$A$2:$A$46, 0))="HigherBetter",MAX(0,MIN(100,($E22-INDEX(Indicators!$L$2:$L$46, MATCH($A22, Indicators!$A$2:$A$46, 0)))/(INDEX(Indicators!$K$2:$K$46, MATCH($A22, Indicators!$A$2:$A$46, 0))-INDEX(Indicators!$L$2:$L$46, MATCH($A22, Indicators!$A$2:$A$46, 0)))*100)),IF(INDEX(Indicators!$J$2:$J$46, MATCH($A22, Indicators!$A$2:$A$46, 0))="LowerBetter",MAX(0,MIN(100,(INDEX(Indicators!$L$2:$L$46, MATCH($A22, Indicators!$A$2:$A$46, 0))-$E22)/(INDEX(Indicators!$L$2:$L$46, MATCH($A22, Indicators!$A$2:$A$46, 0))-INDEX(Indicators!$K$2:$K$46, MATCH($A22, Indicators!$A$2:$A$46, 0)))*100)),""))))</f>
        <v/>
      </c>
      <c r="G22" s="26">
        <f>IFERROR(INDEX(Indicators!$S$2:$S$46, MATCH($A22, Indicators!$A$2:$A$46, 0)),"")</f>
        <v/>
      </c>
      <c r="H22" s="26">
        <f>IF($F22="","",$F22*$G22)</f>
        <v/>
      </c>
      <c r="I22" s="26">
        <f>IFERROR(INDEX(Indicators!$G$2:$G$46, MATCH($A22, Indicators!$A$2:$A$46, 0)),"")</f>
        <v/>
      </c>
    </row>
    <row r="23" ht="79.5" customHeight="1" s="62">
      <c r="A23" s="26" t="inlineStr">
        <is>
          <t>HY_OAS</t>
        </is>
      </c>
      <c r="B23" s="26">
        <f>INDEX(Indicators!$C$2:$C$46, MATCH($A23, Indicators!$A$2:$A$46, 0))</f>
        <v/>
      </c>
      <c r="C23" s="26">
        <f>INDEX(Indicators!$B$2:$B$46, MATCH($A23, Indicators!$A$2:$A$46, 0))</f>
        <v/>
      </c>
      <c r="D23" s="26">
        <f>IFERROR(INDEX(Inputs!$B$7:$B$51, MATCH($A23, Inputs!$A$7:$A$51, 0)),"")</f>
        <v/>
      </c>
      <c r="E23" s="26">
        <f>IF($D23="","",IF(AND(INDEX(Indicators!$Q$2:$Q$46, MATCH($A23, Indicators!$A$2:$A$46, 0))="",INDEX(Indicators!$R$2:$R$46, MATCH($A23, Indicators!$A$2:$A$46, 0))=""),$D23,IF(INDEX(Indicators!$Q$2:$Q$46, MATCH($A23, Indicators!$A$2:$A$46, 0))="",MIN($D23,INDEX(Indicators!$R$2:$R$46, MATCH($A23, Indicators!$A$2:$A$46, 0))),IF(INDEX(Indicators!$R$2:$R$46, MATCH($A23, Indicators!$A$2:$A$46, 0))="",MAX($D23,INDEX(Indicators!$Q$2:$Q$46, MATCH($A23, Indicators!$A$2:$A$46, 0))),MIN(MAX($D23,INDEX(Indicators!$Q$2:$Q$46, MATCH($A23, Indicators!$A$2:$A$46, 0))),INDEX(Indicators!$R$2:$R$46, MATCH($A23, Indicators!$A$2:$A$46, 0)))))))</f>
        <v/>
      </c>
      <c r="F23" s="26">
        <f>IF($E23="","",IF(INDEX(Indicators!$I$2:$I$46, MATCH($A23, Indicators!$A$2:$A$46, 0))="TargetBand",IF(AND($E23&gt;=INDEX(Indicators!$N$2:$N$46, MATCH($A23, Indicators!$A$2:$A$46, 0)),$E23&lt;=INDEX(Indicators!$O$2:$O$46, MATCH($A23, Indicators!$A$2:$A$46, 0))),100,IF($E23&lt;INDEX(Indicators!$N$2:$N$46, MATCH($A23, Indicators!$A$2:$A$46, 0)),MAX(0,MIN(100,($E23-INDEX(Indicators!$M$2:$M$46, MATCH($A23, Indicators!$A$2:$A$46, 0)))/(INDEX(Indicators!$N$2:$N$46, MATCH($A23, Indicators!$A$2:$A$46, 0))-INDEX(Indicators!$M$2:$M$46, MATCH($A23, Indicators!$A$2:$A$46, 0)))*100)),MAX(0,MIN(100,(INDEX(Indicators!$P$2:$P$46, MATCH($A23, Indicators!$A$2:$A$46, 0))-$E23)/(INDEX(Indicators!$P$2:$P$46, MATCH($A23, Indicators!$A$2:$A$46, 0))-INDEX(Indicators!$O$2:$O$46, MATCH($A23, Indicators!$A$2:$A$46, 0)))*100)))),IF(INDEX(Indicators!$J$2:$J$46, MATCH($A23, Indicators!$A$2:$A$46, 0))="HigherBetter",MAX(0,MIN(100,($E23-INDEX(Indicators!$L$2:$L$46, MATCH($A23, Indicators!$A$2:$A$46, 0)))/(INDEX(Indicators!$K$2:$K$46, MATCH($A23, Indicators!$A$2:$A$46, 0))-INDEX(Indicators!$L$2:$L$46, MATCH($A23, Indicators!$A$2:$A$46, 0)))*100)),IF(INDEX(Indicators!$J$2:$J$46, MATCH($A23, Indicators!$A$2:$A$46, 0))="LowerBetter",MAX(0,MIN(100,(INDEX(Indicators!$L$2:$L$46, MATCH($A23, Indicators!$A$2:$A$46, 0))-$E23)/(INDEX(Indicators!$L$2:$L$46, MATCH($A23, Indicators!$A$2:$A$46, 0))-INDEX(Indicators!$K$2:$K$46, MATCH($A23, Indicators!$A$2:$A$46, 0)))*100)),""))))</f>
        <v/>
      </c>
      <c r="G23" s="26">
        <f>IFERROR(INDEX(Indicators!$S$2:$S$46, MATCH($A23, Indicators!$A$2:$A$46, 0)),"")</f>
        <v/>
      </c>
      <c r="H23" s="26">
        <f>IF($F23="","",$F23*$G23)</f>
        <v/>
      </c>
      <c r="I23" s="26">
        <f>IFERROR(INDEX(Indicators!$G$2:$G$46, MATCH($A23, Indicators!$A$2:$A$46, 0)),"")</f>
        <v/>
      </c>
    </row>
    <row r="24" ht="57" customHeight="1" s="62">
      <c r="A24" s="26" t="inlineStr">
        <is>
          <t>MORTGAGE_30Y</t>
        </is>
      </c>
      <c r="B24" s="26">
        <f>INDEX(Indicators!$C$2:$C$46, MATCH($A24, Indicators!$A$2:$A$46, 0))</f>
        <v/>
      </c>
      <c r="C24" s="26">
        <f>INDEX(Indicators!$B$2:$B$46, MATCH($A24, Indicators!$A$2:$A$46, 0))</f>
        <v/>
      </c>
      <c r="D24" s="26">
        <f>IFERROR(INDEX(Inputs!$B$7:$B$51, MATCH($A24, Inputs!$A$7:$A$51, 0)),"")</f>
        <v/>
      </c>
      <c r="E24" s="26">
        <f>IF($D24="","",IF(AND(INDEX(Indicators!$Q$2:$Q$46, MATCH($A24, Indicators!$A$2:$A$46, 0))="",INDEX(Indicators!$R$2:$R$46, MATCH($A24, Indicators!$A$2:$A$46, 0))=""),$D24,IF(INDEX(Indicators!$Q$2:$Q$46, MATCH($A24, Indicators!$A$2:$A$46, 0))="",MIN($D24,INDEX(Indicators!$R$2:$R$46, MATCH($A24, Indicators!$A$2:$A$46, 0))),IF(INDEX(Indicators!$R$2:$R$46, MATCH($A24, Indicators!$A$2:$A$46, 0))="",MAX($D24,INDEX(Indicators!$Q$2:$Q$46, MATCH($A24, Indicators!$A$2:$A$46, 0))),MIN(MAX($D24,INDEX(Indicators!$Q$2:$Q$46, MATCH($A24, Indicators!$A$2:$A$46, 0))),INDEX(Indicators!$R$2:$R$46, MATCH($A24, Indicators!$A$2:$A$46, 0)))))))</f>
        <v/>
      </c>
      <c r="F24" s="26">
        <f>IF($E24="","",IF(INDEX(Indicators!$I$2:$I$46, MATCH($A24, Indicators!$A$2:$A$46, 0))="TargetBand",IF(AND($E24&gt;=INDEX(Indicators!$N$2:$N$46, MATCH($A24, Indicators!$A$2:$A$46, 0)),$E24&lt;=INDEX(Indicators!$O$2:$O$46, MATCH($A24, Indicators!$A$2:$A$46, 0))),100,IF($E24&lt;INDEX(Indicators!$N$2:$N$46, MATCH($A24, Indicators!$A$2:$A$46, 0)),MAX(0,MIN(100,($E24-INDEX(Indicators!$M$2:$M$46, MATCH($A24, Indicators!$A$2:$A$46, 0)))/(INDEX(Indicators!$N$2:$N$46, MATCH($A24, Indicators!$A$2:$A$46, 0))-INDEX(Indicators!$M$2:$M$46, MATCH($A24, Indicators!$A$2:$A$46, 0)))*100)),MAX(0,MIN(100,(INDEX(Indicators!$P$2:$P$46, MATCH($A24, Indicators!$A$2:$A$46, 0))-$E24)/(INDEX(Indicators!$P$2:$P$46, MATCH($A24, Indicators!$A$2:$A$46, 0))-INDEX(Indicators!$O$2:$O$46, MATCH($A24, Indicators!$A$2:$A$46, 0)))*100)))),IF(INDEX(Indicators!$J$2:$J$46, MATCH($A24, Indicators!$A$2:$A$46, 0))="HigherBetter",MAX(0,MIN(100,($E24-INDEX(Indicators!$L$2:$L$46, MATCH($A24, Indicators!$A$2:$A$46, 0)))/(INDEX(Indicators!$K$2:$K$46, MATCH($A24, Indicators!$A$2:$A$46, 0))-INDEX(Indicators!$L$2:$L$46, MATCH($A24, Indicators!$A$2:$A$46, 0)))*100)),IF(INDEX(Indicators!$J$2:$J$46, MATCH($A24, Indicators!$A$2:$A$46, 0))="LowerBetter",MAX(0,MIN(100,(INDEX(Indicators!$L$2:$L$46, MATCH($A24, Indicators!$A$2:$A$46, 0))-$E24)/(INDEX(Indicators!$L$2:$L$46, MATCH($A24, Indicators!$A$2:$A$46, 0))-INDEX(Indicators!$K$2:$K$46, MATCH($A24, Indicators!$A$2:$A$46, 0)))*100)),""))))</f>
        <v/>
      </c>
      <c r="G24" s="26">
        <f>IFERROR(INDEX(Indicators!$S$2:$S$46, MATCH($A24, Indicators!$A$2:$A$46, 0)),"")</f>
        <v/>
      </c>
      <c r="H24" s="26">
        <f>IF($F24="","",$F24*$G24)</f>
        <v/>
      </c>
      <c r="I24" s="26">
        <f>IFERROR(INDEX(Indicators!$G$2:$G$46, MATCH($A24, Indicators!$A$2:$A$46, 0)),"")</f>
        <v/>
      </c>
    </row>
    <row r="25" ht="34.5" customHeight="1" s="62">
      <c r="A25" s="26" t="inlineStr">
        <is>
          <t>EXIST_HOME_SALES</t>
        </is>
      </c>
      <c r="B25" s="26">
        <f>INDEX(Indicators!$C$2:$C$46, MATCH($A25, Indicators!$A$2:$A$46, 0))</f>
        <v/>
      </c>
      <c r="C25" s="26">
        <f>INDEX(Indicators!$B$2:$B$46, MATCH($A25, Indicators!$A$2:$A$46, 0))</f>
        <v/>
      </c>
      <c r="D25" s="26">
        <f>IFERROR(INDEX(Inputs!$B$7:$B$51, MATCH($A25, Inputs!$A$7:$A$51, 0)),"")</f>
        <v/>
      </c>
      <c r="E25" s="26">
        <f>IF($D25="","",IF(AND(INDEX(Indicators!$Q$2:$Q$46, MATCH($A25, Indicators!$A$2:$A$46, 0))="",INDEX(Indicators!$R$2:$R$46, MATCH($A25, Indicators!$A$2:$A$46, 0))=""),$D25,IF(INDEX(Indicators!$Q$2:$Q$46, MATCH($A25, Indicators!$A$2:$A$46, 0))="",MIN($D25,INDEX(Indicators!$R$2:$R$46, MATCH($A25, Indicators!$A$2:$A$46, 0))),IF(INDEX(Indicators!$R$2:$R$46, MATCH($A25, Indicators!$A$2:$A$46, 0))="",MAX($D25,INDEX(Indicators!$Q$2:$Q$46, MATCH($A25, Indicators!$A$2:$A$46, 0))),MIN(MAX($D25,INDEX(Indicators!$Q$2:$Q$46, MATCH($A25, Indicators!$A$2:$A$46, 0))),INDEX(Indicators!$R$2:$R$46, MATCH($A25, Indicators!$A$2:$A$46, 0)))))))</f>
        <v/>
      </c>
      <c r="F25" s="26">
        <f>IF($E25="","",IF(INDEX(Indicators!$I$2:$I$46, MATCH($A25, Indicators!$A$2:$A$46, 0))="TargetBand",IF(AND($E25&gt;=INDEX(Indicators!$N$2:$N$46, MATCH($A25, Indicators!$A$2:$A$46, 0)),$E25&lt;=INDEX(Indicators!$O$2:$O$46, MATCH($A25, Indicators!$A$2:$A$46, 0))),100,IF($E25&lt;INDEX(Indicators!$N$2:$N$46, MATCH($A25, Indicators!$A$2:$A$46, 0)),MAX(0,MIN(100,($E25-INDEX(Indicators!$M$2:$M$46, MATCH($A25, Indicators!$A$2:$A$46, 0)))/(INDEX(Indicators!$N$2:$N$46, MATCH($A25, Indicators!$A$2:$A$46, 0))-INDEX(Indicators!$M$2:$M$46, MATCH($A25, Indicators!$A$2:$A$46, 0)))*100)),MAX(0,MIN(100,(INDEX(Indicators!$P$2:$P$46, MATCH($A25, Indicators!$A$2:$A$46, 0))-$E25)/(INDEX(Indicators!$P$2:$P$46, MATCH($A25, Indicators!$A$2:$A$46, 0))-INDEX(Indicators!$O$2:$O$46, MATCH($A25, Indicators!$A$2:$A$46, 0)))*100)))),IF(INDEX(Indicators!$J$2:$J$46, MATCH($A25, Indicators!$A$2:$A$46, 0))="HigherBetter",MAX(0,MIN(100,($E25-INDEX(Indicators!$L$2:$L$46, MATCH($A25, Indicators!$A$2:$A$46, 0)))/(INDEX(Indicators!$K$2:$K$46, MATCH($A25, Indicators!$A$2:$A$46, 0))-INDEX(Indicators!$L$2:$L$46, MATCH($A25, Indicators!$A$2:$A$46, 0)))*100)),IF(INDEX(Indicators!$J$2:$J$46, MATCH($A25, Indicators!$A$2:$A$46, 0))="LowerBetter",MAX(0,MIN(100,(INDEX(Indicators!$L$2:$L$46, MATCH($A25, Indicators!$A$2:$A$46, 0))-$E25)/(INDEX(Indicators!$L$2:$L$46, MATCH($A25, Indicators!$A$2:$A$46, 0))-INDEX(Indicators!$K$2:$K$46, MATCH($A25, Indicators!$A$2:$A$46, 0)))*100)),""))))</f>
        <v/>
      </c>
      <c r="G25" s="26">
        <f>IFERROR(INDEX(Indicators!$S$2:$S$46, MATCH($A25, Indicators!$A$2:$A$46, 0)),"")</f>
        <v/>
      </c>
      <c r="H25" s="26">
        <f>IF($F25="","",$F25*$G25)</f>
        <v/>
      </c>
      <c r="I25" s="26">
        <f>IFERROR(INDEX(Indicators!$G$2:$G$46, MATCH($A25, Indicators!$A$2:$A$46, 0)),"")</f>
        <v/>
      </c>
    </row>
    <row r="26" ht="68.25" customHeight="1" s="62">
      <c r="A26" s="26" t="inlineStr">
        <is>
          <t>HOUSING_STARTS</t>
        </is>
      </c>
      <c r="B26" s="26">
        <f>INDEX(Indicators!$C$2:$C$46, MATCH($A26, Indicators!$A$2:$A$46, 0))</f>
        <v/>
      </c>
      <c r="C26" s="26">
        <f>INDEX(Indicators!$B$2:$B$46, MATCH($A26, Indicators!$A$2:$A$46, 0))</f>
        <v/>
      </c>
      <c r="D26" s="26">
        <f>IFERROR(INDEX(Inputs!$B$7:$B$51, MATCH($A26, Inputs!$A$7:$A$51, 0)),"")</f>
        <v/>
      </c>
      <c r="E26" s="26">
        <f>IF($D26="","",IF(AND(INDEX(Indicators!$Q$2:$Q$46, MATCH($A26, Indicators!$A$2:$A$46, 0))="",INDEX(Indicators!$R$2:$R$46, MATCH($A26, Indicators!$A$2:$A$46, 0))=""),$D26,IF(INDEX(Indicators!$Q$2:$Q$46, MATCH($A26, Indicators!$A$2:$A$46, 0))="",MIN($D26,INDEX(Indicators!$R$2:$R$46, MATCH($A26, Indicators!$A$2:$A$46, 0))),IF(INDEX(Indicators!$R$2:$R$46, MATCH($A26, Indicators!$A$2:$A$46, 0))="",MAX($D26,INDEX(Indicators!$Q$2:$Q$46, MATCH($A26, Indicators!$A$2:$A$46, 0))),MIN(MAX($D26,INDEX(Indicators!$Q$2:$Q$46, MATCH($A26, Indicators!$A$2:$A$46, 0))),INDEX(Indicators!$R$2:$R$46, MATCH($A26, Indicators!$A$2:$A$46, 0)))))))</f>
        <v/>
      </c>
      <c r="F26" s="26">
        <f>IF($E26="","",IF(INDEX(Indicators!$I$2:$I$46, MATCH($A26, Indicators!$A$2:$A$46, 0))="TargetBand",IF(AND($E26&gt;=INDEX(Indicators!$N$2:$N$46, MATCH($A26, Indicators!$A$2:$A$46, 0)),$E26&lt;=INDEX(Indicators!$O$2:$O$46, MATCH($A26, Indicators!$A$2:$A$46, 0))),100,IF($E26&lt;INDEX(Indicators!$N$2:$N$46, MATCH($A26, Indicators!$A$2:$A$46, 0)),MAX(0,MIN(100,($E26-INDEX(Indicators!$M$2:$M$46, MATCH($A26, Indicators!$A$2:$A$46, 0)))/(INDEX(Indicators!$N$2:$N$46, MATCH($A26, Indicators!$A$2:$A$46, 0))-INDEX(Indicators!$M$2:$M$46, MATCH($A26, Indicators!$A$2:$A$46, 0)))*100)),MAX(0,MIN(100,(INDEX(Indicators!$P$2:$P$46, MATCH($A26, Indicators!$A$2:$A$46, 0))-$E26)/(INDEX(Indicators!$P$2:$P$46, MATCH($A26, Indicators!$A$2:$A$46, 0))-INDEX(Indicators!$O$2:$O$46, MATCH($A26, Indicators!$A$2:$A$46, 0)))*100)))),IF(INDEX(Indicators!$J$2:$J$46, MATCH($A26, Indicators!$A$2:$A$46, 0))="HigherBetter",MAX(0,MIN(100,($E26-INDEX(Indicators!$L$2:$L$46, MATCH($A26, Indicators!$A$2:$A$46, 0)))/(INDEX(Indicators!$K$2:$K$46, MATCH($A26, Indicators!$A$2:$A$46, 0))-INDEX(Indicators!$L$2:$L$46, MATCH($A26, Indicators!$A$2:$A$46, 0)))*100)),IF(INDEX(Indicators!$J$2:$J$46, MATCH($A26, Indicators!$A$2:$A$46, 0))="LowerBetter",MAX(0,MIN(100,(INDEX(Indicators!$L$2:$L$46, MATCH($A26, Indicators!$A$2:$A$46, 0))-$E26)/(INDEX(Indicators!$L$2:$L$46, MATCH($A26, Indicators!$A$2:$A$46, 0))-INDEX(Indicators!$K$2:$K$46, MATCH($A26, Indicators!$A$2:$A$46, 0)))*100)),""))))</f>
        <v/>
      </c>
      <c r="G26" s="26">
        <f>IFERROR(INDEX(Indicators!$S$2:$S$46, MATCH($A26, Indicators!$A$2:$A$46, 0)),"")</f>
        <v/>
      </c>
      <c r="H26" s="26">
        <f>IF($F26="","",$F26*$G26)</f>
        <v/>
      </c>
      <c r="I26" s="26">
        <f>IFERROR(INDEX(Indicators!$G$2:$G$46, MATCH($A26, Indicators!$A$2:$A$46, 0)),"")</f>
        <v/>
      </c>
    </row>
    <row r="27" ht="68.25" customHeight="1" s="62">
      <c r="A27" s="26" t="inlineStr">
        <is>
          <t>VIX</t>
        </is>
      </c>
      <c r="B27" s="26">
        <f>INDEX(Indicators!$C$2:$C$46, MATCH($A27, Indicators!$A$2:$A$46, 0))</f>
        <v/>
      </c>
      <c r="C27" s="26">
        <f>INDEX(Indicators!$B$2:$B$46, MATCH($A27, Indicators!$A$2:$A$46, 0))</f>
        <v/>
      </c>
      <c r="D27" s="26">
        <f>IFERROR(INDEX(Inputs!$B$7:$B$51, MATCH($A27, Inputs!$A$7:$A$51, 0)),"")</f>
        <v/>
      </c>
      <c r="E27" s="26">
        <f>IF($D27="","",IF(AND(INDEX(Indicators!$Q$2:$Q$46, MATCH($A27, Indicators!$A$2:$A$46, 0))="",INDEX(Indicators!$R$2:$R$46, MATCH($A27, Indicators!$A$2:$A$46, 0))=""),$D27,IF(INDEX(Indicators!$Q$2:$Q$46, MATCH($A27, Indicators!$A$2:$A$46, 0))="",MIN($D27,INDEX(Indicators!$R$2:$R$46, MATCH($A27, Indicators!$A$2:$A$46, 0))),IF(INDEX(Indicators!$R$2:$R$46, MATCH($A27, Indicators!$A$2:$A$46, 0))="",MAX($D27,INDEX(Indicators!$Q$2:$Q$46, MATCH($A27, Indicators!$A$2:$A$46, 0))),MIN(MAX($D27,INDEX(Indicators!$Q$2:$Q$46, MATCH($A27, Indicators!$A$2:$A$46, 0))),INDEX(Indicators!$R$2:$R$46, MATCH($A27, Indicators!$A$2:$A$46, 0)))))))</f>
        <v/>
      </c>
      <c r="F27" s="26">
        <f>IF($E27="","",IF(INDEX(Indicators!$I$2:$I$46, MATCH($A27, Indicators!$A$2:$A$46, 0))="TargetBand",IF(AND($E27&gt;=INDEX(Indicators!$N$2:$N$46, MATCH($A27, Indicators!$A$2:$A$46, 0)),$E27&lt;=INDEX(Indicators!$O$2:$O$46, MATCH($A27, Indicators!$A$2:$A$46, 0))),100,IF($E27&lt;INDEX(Indicators!$N$2:$N$46, MATCH($A27, Indicators!$A$2:$A$46, 0)),MAX(0,MIN(100,($E27-INDEX(Indicators!$M$2:$M$46, MATCH($A27, Indicators!$A$2:$A$46, 0)))/(INDEX(Indicators!$N$2:$N$46, MATCH($A27, Indicators!$A$2:$A$46, 0))-INDEX(Indicators!$M$2:$M$46, MATCH($A27, Indicators!$A$2:$A$46, 0)))*100)),MAX(0,MIN(100,(INDEX(Indicators!$P$2:$P$46, MATCH($A27, Indicators!$A$2:$A$46, 0))-$E27)/(INDEX(Indicators!$P$2:$P$46, MATCH($A27, Indicators!$A$2:$A$46, 0))-INDEX(Indicators!$O$2:$O$46, MATCH($A27, Indicators!$A$2:$A$46, 0)))*100)))),IF(INDEX(Indicators!$J$2:$J$46, MATCH($A27, Indicators!$A$2:$A$46, 0))="HigherBetter",MAX(0,MIN(100,($E27-INDEX(Indicators!$L$2:$L$46, MATCH($A27, Indicators!$A$2:$A$46, 0)))/(INDEX(Indicators!$K$2:$K$46, MATCH($A27, Indicators!$A$2:$A$46, 0))-INDEX(Indicators!$L$2:$L$46, MATCH($A27, Indicators!$A$2:$A$46, 0)))*100)),IF(INDEX(Indicators!$J$2:$J$46, MATCH($A27, Indicators!$A$2:$A$46, 0))="LowerBetter",MAX(0,MIN(100,(INDEX(Indicators!$L$2:$L$46, MATCH($A27, Indicators!$A$2:$A$46, 0))-$E27)/(INDEX(Indicators!$L$2:$L$46, MATCH($A27, Indicators!$A$2:$A$46, 0))-INDEX(Indicators!$K$2:$K$46, MATCH($A27, Indicators!$A$2:$A$46, 0)))*100)),""))))</f>
        <v/>
      </c>
      <c r="G27" s="26">
        <f>IFERROR(INDEX(Indicators!$S$2:$S$46, MATCH($A27, Indicators!$A$2:$A$46, 0)),"")</f>
        <v/>
      </c>
      <c r="H27" s="26">
        <f>IF($F27="","",$F27*$G27)</f>
        <v/>
      </c>
      <c r="I27" s="26">
        <f>IFERROR(INDEX(Indicators!$G$2:$G$46, MATCH($A27, Indicators!$A$2:$A$46, 0)),"")</f>
        <v/>
      </c>
    </row>
    <row r="28" ht="63.75" customHeight="1" s="62">
      <c r="A28" s="26" t="inlineStr">
        <is>
          <t>MOVE</t>
        </is>
      </c>
      <c r="B28" s="26">
        <f>INDEX(Indicators!$C$2:$C$46, MATCH($A28, Indicators!$A$2:$A$46, 0))</f>
        <v/>
      </c>
      <c r="C28" s="26">
        <f>INDEX(Indicators!$B$2:$B$46, MATCH($A28, Indicators!$A$2:$A$46, 0))</f>
        <v/>
      </c>
      <c r="D28" s="26">
        <f>IFERROR(INDEX(Inputs!$B$7:$B$51, MATCH($A28, Inputs!$A$7:$A$51, 0)),"")</f>
        <v/>
      </c>
      <c r="E28" s="26">
        <f>IF($D28="","",IF(AND(INDEX(Indicators!$Q$2:$Q$46, MATCH($A28, Indicators!$A$2:$A$46, 0))="",INDEX(Indicators!$R$2:$R$46, MATCH($A28, Indicators!$A$2:$A$46, 0))=""),$D28,IF(INDEX(Indicators!$Q$2:$Q$46, MATCH($A28, Indicators!$A$2:$A$46, 0))="",MIN($D28,INDEX(Indicators!$R$2:$R$46, MATCH($A28, Indicators!$A$2:$A$46, 0))),IF(INDEX(Indicators!$R$2:$R$46, MATCH($A28, Indicators!$A$2:$A$46, 0))="",MAX($D28,INDEX(Indicators!$Q$2:$Q$46, MATCH($A28, Indicators!$A$2:$A$46, 0))),MIN(MAX($D28,INDEX(Indicators!$Q$2:$Q$46, MATCH($A28, Indicators!$A$2:$A$46, 0))),INDEX(Indicators!$R$2:$R$46, MATCH($A28, Indicators!$A$2:$A$46, 0)))))))</f>
        <v/>
      </c>
      <c r="F28" s="26">
        <f>IF($E28="","",IF(INDEX(Indicators!$I$2:$I$46, MATCH($A28, Indicators!$A$2:$A$46, 0))="TargetBand",IF(AND($E28&gt;=INDEX(Indicators!$N$2:$N$46, MATCH($A28, Indicators!$A$2:$A$46, 0)),$E28&lt;=INDEX(Indicators!$O$2:$O$46, MATCH($A28, Indicators!$A$2:$A$46, 0))),100,IF($E28&lt;INDEX(Indicators!$N$2:$N$46, MATCH($A28, Indicators!$A$2:$A$46, 0)),MAX(0,MIN(100,($E28-INDEX(Indicators!$M$2:$M$46, MATCH($A28, Indicators!$A$2:$A$46, 0)))/(INDEX(Indicators!$N$2:$N$46, MATCH($A28, Indicators!$A$2:$A$46, 0))-INDEX(Indicators!$M$2:$M$46, MATCH($A28, Indicators!$A$2:$A$46, 0)))*100)),MAX(0,MIN(100,(INDEX(Indicators!$P$2:$P$46, MATCH($A28, Indicators!$A$2:$A$46, 0))-$E28)/(INDEX(Indicators!$P$2:$P$46, MATCH($A28, Indicators!$A$2:$A$46, 0))-INDEX(Indicators!$O$2:$O$46, MATCH($A28, Indicators!$A$2:$A$46, 0)))*100)))),IF(INDEX(Indicators!$J$2:$J$46, MATCH($A28, Indicators!$A$2:$A$46, 0))="HigherBetter",MAX(0,MIN(100,($E28-INDEX(Indicators!$L$2:$L$46, MATCH($A28, Indicators!$A$2:$A$46, 0)))/(INDEX(Indicators!$K$2:$K$46, MATCH($A28, Indicators!$A$2:$A$46, 0))-INDEX(Indicators!$L$2:$L$46, MATCH($A28, Indicators!$A$2:$A$46, 0)))*100)),IF(INDEX(Indicators!$J$2:$J$46, MATCH($A28, Indicators!$A$2:$A$46, 0))="LowerBetter",MAX(0,MIN(100,(INDEX(Indicators!$L$2:$L$46, MATCH($A28, Indicators!$A$2:$A$46, 0))-$E28)/(INDEX(Indicators!$L$2:$L$46, MATCH($A28, Indicators!$A$2:$A$46, 0))-INDEX(Indicators!$K$2:$K$46, MATCH($A28, Indicators!$A$2:$A$46, 0)))*100)),""))))</f>
        <v/>
      </c>
      <c r="G28" s="26">
        <f>IFERROR(INDEX(Indicators!$S$2:$S$46, MATCH($A28, Indicators!$A$2:$A$46, 0)),"")</f>
        <v/>
      </c>
      <c r="H28" s="26">
        <f>IF($F28="","",$F28*$G28)</f>
        <v/>
      </c>
      <c r="I28" s="26">
        <f>IFERROR(INDEX(Indicators!$G$2:$G$46, MATCH($A28, Indicators!$A$2:$A$46, 0)),"")</f>
        <v/>
      </c>
    </row>
    <row r="29" ht="32.25" customHeight="1" s="62">
      <c r="A29" s="26" t="inlineStr">
        <is>
          <t>SPX_DD_3M</t>
        </is>
      </c>
      <c r="B29" s="26">
        <f>INDEX(Indicators!$C$2:$C$46, MATCH($A29, Indicators!$A$2:$A$46, 0))</f>
        <v/>
      </c>
      <c r="C29" s="26">
        <f>INDEX(Indicators!$B$2:$B$46, MATCH($A29, Indicators!$A$2:$A$46, 0))</f>
        <v/>
      </c>
      <c r="D29" s="26">
        <f>IFERROR(INDEX(Inputs!$B$7:$B$51, MATCH($A29, Inputs!$A$7:$A$51, 0)),"")</f>
        <v/>
      </c>
      <c r="E29" s="26">
        <f>IF($D29="","",IF(AND(INDEX(Indicators!$Q$2:$Q$46, MATCH($A29, Indicators!$A$2:$A$46, 0))="",INDEX(Indicators!$R$2:$R$46, MATCH($A29, Indicators!$A$2:$A$46, 0))=""),$D29,IF(INDEX(Indicators!$Q$2:$Q$46, MATCH($A29, Indicators!$A$2:$A$46, 0))="",MIN($D29,INDEX(Indicators!$R$2:$R$46, MATCH($A29, Indicators!$A$2:$A$46, 0))),IF(INDEX(Indicators!$R$2:$R$46, MATCH($A29, Indicators!$A$2:$A$46, 0))="",MAX($D29,INDEX(Indicators!$Q$2:$Q$46, MATCH($A29, Indicators!$A$2:$A$46, 0))),MIN(MAX($D29,INDEX(Indicators!$Q$2:$Q$46, MATCH($A29, Indicators!$A$2:$A$46, 0))),INDEX(Indicators!$R$2:$R$46, MATCH($A29, Indicators!$A$2:$A$46, 0)))))))</f>
        <v/>
      </c>
      <c r="F29" s="26">
        <f>IF($E29="","",IF(INDEX(Indicators!$I$2:$I$46, MATCH($A29, Indicators!$A$2:$A$46, 0))="TargetBand",IF(AND($E29&gt;=INDEX(Indicators!$N$2:$N$46, MATCH($A29, Indicators!$A$2:$A$46, 0)),$E29&lt;=INDEX(Indicators!$O$2:$O$46, MATCH($A29, Indicators!$A$2:$A$46, 0))),100,IF($E29&lt;INDEX(Indicators!$N$2:$N$46, MATCH($A29, Indicators!$A$2:$A$46, 0)),MAX(0,MIN(100,($E29-INDEX(Indicators!$M$2:$M$46, MATCH($A29, Indicators!$A$2:$A$46, 0)))/(INDEX(Indicators!$N$2:$N$46, MATCH($A29, Indicators!$A$2:$A$46, 0))-INDEX(Indicators!$M$2:$M$46, MATCH($A29, Indicators!$A$2:$A$46, 0)))*100)),MAX(0,MIN(100,(INDEX(Indicators!$P$2:$P$46, MATCH($A29, Indicators!$A$2:$A$46, 0))-$E29)/(INDEX(Indicators!$P$2:$P$46, MATCH($A29, Indicators!$A$2:$A$46, 0))-INDEX(Indicators!$O$2:$O$46, MATCH($A29, Indicators!$A$2:$A$46, 0)))*100)))),IF(INDEX(Indicators!$J$2:$J$46, MATCH($A29, Indicators!$A$2:$A$46, 0))="HigherBetter",MAX(0,MIN(100,($E29-INDEX(Indicators!$L$2:$L$46, MATCH($A29, Indicators!$A$2:$A$46, 0)))/(INDEX(Indicators!$K$2:$K$46, MATCH($A29, Indicators!$A$2:$A$46, 0))-INDEX(Indicators!$L$2:$L$46, MATCH($A29, Indicators!$A$2:$A$46, 0)))*100)),IF(INDEX(Indicators!$J$2:$J$46, MATCH($A29, Indicators!$A$2:$A$46, 0))="LowerBetter",MAX(0,MIN(100,(INDEX(Indicators!$L$2:$L$46, MATCH($A29, Indicators!$A$2:$A$46, 0))-$E29)/(INDEX(Indicators!$L$2:$L$46, MATCH($A29, Indicators!$A$2:$A$46, 0))-INDEX(Indicators!$K$2:$K$46, MATCH($A29, Indicators!$A$2:$A$46, 0)))*100)),""))))</f>
        <v/>
      </c>
      <c r="G29" s="26">
        <f>IFERROR(INDEX(Indicators!$S$2:$S$46, MATCH($A29, Indicators!$A$2:$A$46, 0)),"")</f>
        <v/>
      </c>
      <c r="H29" s="26">
        <f>IF($F29="","",$F29*$G29)</f>
        <v/>
      </c>
      <c r="I29" s="26">
        <f>IFERROR(INDEX(Indicators!$G$2:$G$46, MATCH($A29, Indicators!$A$2:$A$46, 0)),"")</f>
        <v/>
      </c>
    </row>
    <row r="30" ht="32.25" customHeight="1" s="62">
      <c r="A30" s="26" t="inlineStr">
        <is>
          <t>DXY</t>
        </is>
      </c>
      <c r="B30" s="26">
        <f>INDEX(Indicators!$C$2:$C$46, MATCH($A30, Indicators!$A$2:$A$46, 0))</f>
        <v/>
      </c>
      <c r="C30" s="26">
        <f>INDEX(Indicators!$B$2:$B$46, MATCH($A30, Indicators!$A$2:$A$46, 0))</f>
        <v/>
      </c>
      <c r="D30" s="26">
        <f>IFERROR(INDEX(Inputs!$B$7:$B$51, MATCH($A30, Inputs!$A$7:$A$51, 0)),"")</f>
        <v/>
      </c>
      <c r="E30" s="26">
        <f>IF($D30="","",IF(AND(INDEX(Indicators!$Q$2:$Q$46, MATCH($A30, Indicators!$A$2:$A$46, 0))="",INDEX(Indicators!$R$2:$R$46, MATCH($A30, Indicators!$A$2:$A$46, 0))=""),$D30,IF(INDEX(Indicators!$Q$2:$Q$46, MATCH($A30, Indicators!$A$2:$A$46, 0))="",MIN($D30,INDEX(Indicators!$R$2:$R$46, MATCH($A30, Indicators!$A$2:$A$46, 0))),IF(INDEX(Indicators!$R$2:$R$46, MATCH($A30, Indicators!$A$2:$A$46, 0))="",MAX($D30,INDEX(Indicators!$Q$2:$Q$46, MATCH($A30, Indicators!$A$2:$A$46, 0))),MIN(MAX($D30,INDEX(Indicators!$Q$2:$Q$46, MATCH($A30, Indicators!$A$2:$A$46, 0))),INDEX(Indicators!$R$2:$R$46, MATCH($A30, Indicators!$A$2:$A$46, 0)))))))</f>
        <v/>
      </c>
      <c r="F30" s="26">
        <f>IF($E30="","",IF(INDEX(Indicators!$I$2:$I$46, MATCH($A30, Indicators!$A$2:$A$46, 0))="TargetBand",IF(AND($E30&gt;=INDEX(Indicators!$N$2:$N$46, MATCH($A30, Indicators!$A$2:$A$46, 0)),$E30&lt;=INDEX(Indicators!$O$2:$O$46, MATCH($A30, Indicators!$A$2:$A$46, 0))),100,IF($E30&lt;INDEX(Indicators!$N$2:$N$46, MATCH($A30, Indicators!$A$2:$A$46, 0)),MAX(0,MIN(100,($E30-INDEX(Indicators!$M$2:$M$46, MATCH($A30, Indicators!$A$2:$A$46, 0)))/(INDEX(Indicators!$N$2:$N$46, MATCH($A30, Indicators!$A$2:$A$46, 0))-INDEX(Indicators!$M$2:$M$46, MATCH($A30, Indicators!$A$2:$A$46, 0)))*100)),MAX(0,MIN(100,(INDEX(Indicators!$P$2:$P$46, MATCH($A30, Indicators!$A$2:$A$46, 0))-$E30)/(INDEX(Indicators!$P$2:$P$46, MATCH($A30, Indicators!$A$2:$A$46, 0))-INDEX(Indicators!$O$2:$O$46, MATCH($A30, Indicators!$A$2:$A$46, 0)))*100)))),IF(INDEX(Indicators!$J$2:$J$46, MATCH($A30, Indicators!$A$2:$A$46, 0))="HigherBetter",MAX(0,MIN(100,($E30-INDEX(Indicators!$L$2:$L$46, MATCH($A30, Indicators!$A$2:$A$46, 0)))/(INDEX(Indicators!$K$2:$K$46, MATCH($A30, Indicators!$A$2:$A$46, 0))-INDEX(Indicators!$L$2:$L$46, MATCH($A30, Indicators!$A$2:$A$46, 0)))*100)),IF(INDEX(Indicators!$J$2:$J$46, MATCH($A30, Indicators!$A$2:$A$46, 0))="LowerBetter",MAX(0,MIN(100,(INDEX(Indicators!$L$2:$L$46, MATCH($A30, Indicators!$A$2:$A$46, 0))-$E30)/(INDEX(Indicators!$L$2:$L$46, MATCH($A30, Indicators!$A$2:$A$46, 0))-INDEX(Indicators!$K$2:$K$46, MATCH($A30, Indicators!$A$2:$A$46, 0)))*100)),""))))</f>
        <v/>
      </c>
      <c r="G30" s="26">
        <f>IFERROR(INDEX(Indicators!$S$2:$S$46, MATCH($A30, Indicators!$A$2:$A$46, 0)),"")</f>
        <v/>
      </c>
      <c r="H30" s="26">
        <f>IF($F30="","",$F30*$G30)</f>
        <v/>
      </c>
      <c r="I30" s="26">
        <f>IFERROR(INDEX(Indicators!$G$2:$G$46, MATCH($A30, Indicators!$A$2:$A$46, 0)),"")</f>
        <v/>
      </c>
    </row>
    <row r="31" ht="32.25" customHeight="1" s="62">
      <c r="A31" s="26" t="inlineStr">
        <is>
          <t>US_JP_10Y_SPREAD</t>
        </is>
      </c>
      <c r="B31" s="26">
        <f>INDEX(Indicators!$C$2:$C$46, MATCH($A31, Indicators!$A$2:$A$46, 0))</f>
        <v/>
      </c>
      <c r="C31" s="26">
        <f>INDEX(Indicators!$B$2:$B$46, MATCH($A31, Indicators!$A$2:$A$46, 0))</f>
        <v/>
      </c>
      <c r="D31" s="26">
        <f>IFERROR(INDEX(Inputs!$B$7:$B$51, MATCH($A31, Inputs!$A$7:$A$51, 0)),"")</f>
        <v/>
      </c>
      <c r="E31" s="26">
        <f>IF($D31="","",IF(AND(INDEX(Indicators!$Q$2:$Q$46, MATCH($A31, Indicators!$A$2:$A$46, 0))="",INDEX(Indicators!$R$2:$R$46, MATCH($A31, Indicators!$A$2:$A$46, 0))=""),$D31,IF(INDEX(Indicators!$Q$2:$Q$46, MATCH($A31, Indicators!$A$2:$A$46, 0))="",MIN($D31,INDEX(Indicators!$R$2:$R$46, MATCH($A31, Indicators!$A$2:$A$46, 0))),IF(INDEX(Indicators!$R$2:$R$46, MATCH($A31, Indicators!$A$2:$A$46, 0))="",MAX($D31,INDEX(Indicators!$Q$2:$Q$46, MATCH($A31, Indicators!$A$2:$A$46, 0))),MIN(MAX($D31,INDEX(Indicators!$Q$2:$Q$46, MATCH($A31, Indicators!$A$2:$A$46, 0))),INDEX(Indicators!$R$2:$R$46, MATCH($A31, Indicators!$A$2:$A$46, 0)))))))</f>
        <v/>
      </c>
      <c r="F31" s="26">
        <f>IF($E31="","",IF(INDEX(Indicators!$I$2:$I$46, MATCH($A31, Indicators!$A$2:$A$46, 0))="TargetBand",IF(AND($E31&gt;=INDEX(Indicators!$N$2:$N$46, MATCH($A31, Indicators!$A$2:$A$46, 0)),$E31&lt;=INDEX(Indicators!$O$2:$O$46, MATCH($A31, Indicators!$A$2:$A$46, 0))),100,IF($E31&lt;INDEX(Indicators!$N$2:$N$46, MATCH($A31, Indicators!$A$2:$A$46, 0)),MAX(0,MIN(100,($E31-INDEX(Indicators!$M$2:$M$46, MATCH($A31, Indicators!$A$2:$A$46, 0)))/(INDEX(Indicators!$N$2:$N$46, MATCH($A31, Indicators!$A$2:$A$46, 0))-INDEX(Indicators!$M$2:$M$46, MATCH($A31, Indicators!$A$2:$A$46, 0)))*100)),MAX(0,MIN(100,(INDEX(Indicators!$P$2:$P$46, MATCH($A31, Indicators!$A$2:$A$46, 0))-$E31)/(INDEX(Indicators!$P$2:$P$46, MATCH($A31, Indicators!$A$2:$A$46, 0))-INDEX(Indicators!$O$2:$O$46, MATCH($A31, Indicators!$A$2:$A$46, 0)))*100)))),IF(INDEX(Indicators!$J$2:$J$46, MATCH($A31, Indicators!$A$2:$A$46, 0))="HigherBetter",MAX(0,MIN(100,($E31-INDEX(Indicators!$L$2:$L$46, MATCH($A31, Indicators!$A$2:$A$46, 0)))/(INDEX(Indicators!$K$2:$K$46, MATCH($A31, Indicators!$A$2:$A$46, 0))-INDEX(Indicators!$L$2:$L$46, MATCH($A31, Indicators!$A$2:$A$46, 0)))*100)),IF(INDEX(Indicators!$J$2:$J$46, MATCH($A31, Indicators!$A$2:$A$46, 0))="LowerBetter",MAX(0,MIN(100,(INDEX(Indicators!$L$2:$L$46, MATCH($A31, Indicators!$A$2:$A$46, 0))-$E31)/(INDEX(Indicators!$L$2:$L$46, MATCH($A31, Indicators!$A$2:$A$46, 0))-INDEX(Indicators!$K$2:$K$46, MATCH($A31, Indicators!$A$2:$A$46, 0)))*100)),""))))</f>
        <v/>
      </c>
      <c r="G31" s="26">
        <f>IFERROR(INDEX(Indicators!$S$2:$S$46, MATCH($A31, Indicators!$A$2:$A$46, 0)),"")</f>
        <v/>
      </c>
      <c r="H31" s="26">
        <f>IF($F31="","",$F31*$G31)</f>
        <v/>
      </c>
      <c r="I31" s="26">
        <f>IFERROR(INDEX(Indicators!$G$2:$G$46, MATCH($A31, Indicators!$A$2:$A$46, 0)),"")</f>
        <v/>
      </c>
    </row>
    <row r="32" ht="32.25" customHeight="1" s="62">
      <c r="A32" s="26" t="inlineStr">
        <is>
          <t>CAPITAL_FLOWS</t>
        </is>
      </c>
      <c r="B32" s="26">
        <f>INDEX(Indicators!$C$2:$C$46, MATCH($A32, Indicators!$A$2:$A$46, 0))</f>
        <v/>
      </c>
      <c r="C32" s="26">
        <f>INDEX(Indicators!$B$2:$B$46, MATCH($A32, Indicators!$A$2:$A$46, 0))</f>
        <v/>
      </c>
      <c r="D32" s="26">
        <f>IFERROR(INDEX(Inputs!$B$7:$B$51, MATCH($A32, Inputs!$A$7:$A$51, 0)),"")</f>
        <v/>
      </c>
      <c r="E32" s="26">
        <f>IF($D32="","",IF(AND(INDEX(Indicators!$Q$2:$Q$46, MATCH($A32, Indicators!$A$2:$A$46, 0))="",INDEX(Indicators!$R$2:$R$46, MATCH($A32, Indicators!$A$2:$A$46, 0))=""),$D32,IF(INDEX(Indicators!$Q$2:$Q$46, MATCH($A32, Indicators!$A$2:$A$46, 0))="",MIN($D32,INDEX(Indicators!$R$2:$R$46, MATCH($A32, Indicators!$A$2:$A$46, 0))),IF(INDEX(Indicators!$R$2:$R$46, MATCH($A32, Indicators!$A$2:$A$46, 0))="",MAX($D32,INDEX(Indicators!$Q$2:$Q$46, MATCH($A32, Indicators!$A$2:$A$46, 0))),MIN(MAX($D32,INDEX(Indicators!$Q$2:$Q$46, MATCH($A32, Indicators!$A$2:$A$46, 0))),INDEX(Indicators!$R$2:$R$46, MATCH($A32, Indicators!$A$2:$A$46, 0)))))))</f>
        <v/>
      </c>
      <c r="F32" s="26">
        <f>IF($E32="","",IF(INDEX(Indicators!$I$2:$I$46, MATCH($A32, Indicators!$A$2:$A$46, 0))="TargetBand",IF(AND($E32&gt;=INDEX(Indicators!$N$2:$N$46, MATCH($A32, Indicators!$A$2:$A$46, 0)),$E32&lt;=INDEX(Indicators!$O$2:$O$46, MATCH($A32, Indicators!$A$2:$A$46, 0))),100,IF($E32&lt;INDEX(Indicators!$N$2:$N$46, MATCH($A32, Indicators!$A$2:$A$46, 0)),MAX(0,MIN(100,($E32-INDEX(Indicators!$M$2:$M$46, MATCH($A32, Indicators!$A$2:$A$46, 0)))/(INDEX(Indicators!$N$2:$N$46, MATCH($A32, Indicators!$A$2:$A$46, 0))-INDEX(Indicators!$M$2:$M$46, MATCH($A32, Indicators!$A$2:$A$46, 0)))*100)),MAX(0,MIN(100,(INDEX(Indicators!$P$2:$P$46, MATCH($A32, Indicators!$A$2:$A$46, 0))-$E32)/(INDEX(Indicators!$P$2:$P$46, MATCH($A32, Indicators!$A$2:$A$46, 0))-INDEX(Indicators!$O$2:$O$46, MATCH($A32, Indicators!$A$2:$A$46, 0)))*100)))),IF(INDEX(Indicators!$J$2:$J$46, MATCH($A32, Indicators!$A$2:$A$46, 0))="HigherBetter",MAX(0,MIN(100,($E32-INDEX(Indicators!$L$2:$L$46, MATCH($A32, Indicators!$A$2:$A$46, 0)))/(INDEX(Indicators!$K$2:$K$46, MATCH($A32, Indicators!$A$2:$A$46, 0))-INDEX(Indicators!$L$2:$L$46, MATCH($A32, Indicators!$A$2:$A$46, 0)))*100)),IF(INDEX(Indicators!$J$2:$J$46, MATCH($A32, Indicators!$A$2:$A$46, 0))="LowerBetter",MAX(0,MIN(100,(INDEX(Indicators!$L$2:$L$46, MATCH($A32, Indicators!$A$2:$A$46, 0))-$E32)/(INDEX(Indicators!$L$2:$L$46, MATCH($A32, Indicators!$A$2:$A$46, 0))-INDEX(Indicators!$K$2:$K$46, MATCH($A32, Indicators!$A$2:$A$46, 0)))*100)),""))))</f>
        <v/>
      </c>
      <c r="G32" s="26">
        <f>IFERROR(INDEX(Indicators!$S$2:$S$46, MATCH($A32, Indicators!$A$2:$A$46, 0)),"")</f>
        <v/>
      </c>
      <c r="H32" s="26">
        <f>IF($F32="","",$F32*$G32)</f>
        <v/>
      </c>
      <c r="I32" s="26">
        <f>IFERROR(INDEX(Indicators!$G$2:$G$46, MATCH($A32, Indicators!$A$2:$A$46, 0)),"")</f>
        <v/>
      </c>
    </row>
    <row r="33" ht="68.25" customHeight="1" s="62">
      <c r="A33" s="26" t="inlineStr">
        <is>
          <t>DEFICIT_GDP</t>
        </is>
      </c>
      <c r="B33" s="26">
        <f>INDEX(Indicators!$C$2:$C$46, MATCH($A33, Indicators!$A$2:$A$46, 0))</f>
        <v/>
      </c>
      <c r="C33" s="26">
        <f>INDEX(Indicators!$B$2:$B$46, MATCH($A33, Indicators!$A$2:$A$46, 0))</f>
        <v/>
      </c>
      <c r="D33" s="26">
        <f>IFERROR(INDEX(Inputs!$B$7:$B$51, MATCH($A33, Inputs!$A$7:$A$51, 0)),"")</f>
        <v/>
      </c>
      <c r="E33" s="26">
        <f>IF($D33="","",IF(AND(INDEX(Indicators!$Q$2:$Q$46, MATCH($A33, Indicators!$A$2:$A$46, 0))="",INDEX(Indicators!$R$2:$R$46, MATCH($A33, Indicators!$A$2:$A$46, 0))=""),$D33,IF(INDEX(Indicators!$Q$2:$Q$46, MATCH($A33, Indicators!$A$2:$A$46, 0))="",MIN($D33,INDEX(Indicators!$R$2:$R$46, MATCH($A33, Indicators!$A$2:$A$46, 0))),IF(INDEX(Indicators!$R$2:$R$46, MATCH($A33, Indicators!$A$2:$A$46, 0))="",MAX($D33,INDEX(Indicators!$Q$2:$Q$46, MATCH($A33, Indicators!$A$2:$A$46, 0))),MIN(MAX($D33,INDEX(Indicators!$Q$2:$Q$46, MATCH($A33, Indicators!$A$2:$A$46, 0))),INDEX(Indicators!$R$2:$R$46, MATCH($A33, Indicators!$A$2:$A$46, 0)))))))</f>
        <v/>
      </c>
      <c r="F33" s="26">
        <f>IF($E33="","",IF(INDEX(Indicators!$I$2:$I$46, MATCH($A33, Indicators!$A$2:$A$46, 0))="TargetBand",IF(AND($E33&gt;=INDEX(Indicators!$N$2:$N$46, MATCH($A33, Indicators!$A$2:$A$46, 0)),$E33&lt;=INDEX(Indicators!$O$2:$O$46, MATCH($A33, Indicators!$A$2:$A$46, 0))),100,IF($E33&lt;INDEX(Indicators!$N$2:$N$46, MATCH($A33, Indicators!$A$2:$A$46, 0)),MAX(0,MIN(100,($E33-INDEX(Indicators!$M$2:$M$46, MATCH($A33, Indicators!$A$2:$A$46, 0)))/(INDEX(Indicators!$N$2:$N$46, MATCH($A33, Indicators!$A$2:$A$46, 0))-INDEX(Indicators!$M$2:$M$46, MATCH($A33, Indicators!$A$2:$A$46, 0)))*100)),MAX(0,MIN(100,(INDEX(Indicators!$P$2:$P$46, MATCH($A33, Indicators!$A$2:$A$46, 0))-$E33)/(INDEX(Indicators!$P$2:$P$46, MATCH($A33, Indicators!$A$2:$A$46, 0))-INDEX(Indicators!$O$2:$O$46, MATCH($A33, Indicators!$A$2:$A$46, 0)))*100)))),IF(INDEX(Indicators!$J$2:$J$46, MATCH($A33, Indicators!$A$2:$A$46, 0))="HigherBetter",MAX(0,MIN(100,($E33-INDEX(Indicators!$L$2:$L$46, MATCH($A33, Indicators!$A$2:$A$46, 0)))/(INDEX(Indicators!$K$2:$K$46, MATCH($A33, Indicators!$A$2:$A$46, 0))-INDEX(Indicators!$L$2:$L$46, MATCH($A33, Indicators!$A$2:$A$46, 0)))*100)),IF(INDEX(Indicators!$J$2:$J$46, MATCH($A33, Indicators!$A$2:$A$46, 0))="LowerBetter",MAX(0,MIN(100,(INDEX(Indicators!$L$2:$L$46, MATCH($A33, Indicators!$A$2:$A$46, 0))-$E33)/(INDEX(Indicators!$L$2:$L$46, MATCH($A33, Indicators!$A$2:$A$46, 0))-INDEX(Indicators!$K$2:$K$46, MATCH($A33, Indicators!$A$2:$A$46, 0)))*100)),""))))</f>
        <v/>
      </c>
      <c r="G33" s="26">
        <f>IFERROR(INDEX(Indicators!$S$2:$S$46, MATCH($A33, Indicators!$A$2:$A$46, 0)),"")</f>
        <v/>
      </c>
      <c r="H33" s="26">
        <f>IF($F33="","",$F33*$G33)</f>
        <v/>
      </c>
      <c r="I33" s="26">
        <f>IFERROR(INDEX(Indicators!$G$2:$G$46, MATCH($A33, Indicators!$A$2:$A$46, 0)),"")</f>
        <v/>
      </c>
    </row>
    <row r="34" ht="68.25" customHeight="1" s="62">
      <c r="A34" s="26" t="inlineStr">
        <is>
          <t>DEBT_GDP</t>
        </is>
      </c>
      <c r="B34" s="26">
        <f>INDEX(Indicators!$C$2:$C$46, MATCH($A34, Indicators!$A$2:$A$46, 0))</f>
        <v/>
      </c>
      <c r="C34" s="26">
        <f>INDEX(Indicators!$B$2:$B$46, MATCH($A34, Indicators!$A$2:$A$46, 0))</f>
        <v/>
      </c>
      <c r="D34" s="26">
        <f>IFERROR(INDEX(Inputs!$B$7:$B$51, MATCH($A34, Inputs!$A$7:$A$51, 0)),"")</f>
        <v/>
      </c>
      <c r="E34" s="26">
        <f>IF($D34="","",IF(AND(INDEX(Indicators!$Q$2:$Q$46, MATCH($A34, Indicators!$A$2:$A$46, 0))="",INDEX(Indicators!$R$2:$R$46, MATCH($A34, Indicators!$A$2:$A$46, 0))=""),$D34,IF(INDEX(Indicators!$Q$2:$Q$46, MATCH($A34, Indicators!$A$2:$A$46, 0))="",MIN($D34,INDEX(Indicators!$R$2:$R$46, MATCH($A34, Indicators!$A$2:$A$46, 0))),IF(INDEX(Indicators!$R$2:$R$46, MATCH($A34, Indicators!$A$2:$A$46, 0))="",MAX($D34,INDEX(Indicators!$Q$2:$Q$46, MATCH($A34, Indicators!$A$2:$A$46, 0))),MIN(MAX($D34,INDEX(Indicators!$Q$2:$Q$46, MATCH($A34, Indicators!$A$2:$A$46, 0))),INDEX(Indicators!$R$2:$R$46, MATCH($A34, Indicators!$A$2:$A$46, 0)))))))</f>
        <v/>
      </c>
      <c r="F34" s="26">
        <f>IF($E34="","",IF(INDEX(Indicators!$I$2:$I$46, MATCH($A34, Indicators!$A$2:$A$46, 0))="TargetBand",IF(AND($E34&gt;=INDEX(Indicators!$N$2:$N$46, MATCH($A34, Indicators!$A$2:$A$46, 0)),$E34&lt;=INDEX(Indicators!$O$2:$O$46, MATCH($A34, Indicators!$A$2:$A$46, 0))),100,IF($E34&lt;INDEX(Indicators!$N$2:$N$46, MATCH($A34, Indicators!$A$2:$A$46, 0)),MAX(0,MIN(100,($E34-INDEX(Indicators!$M$2:$M$46, MATCH($A34, Indicators!$A$2:$A$46, 0)))/(INDEX(Indicators!$N$2:$N$46, MATCH($A34, Indicators!$A$2:$A$46, 0))-INDEX(Indicators!$M$2:$M$46, MATCH($A34, Indicators!$A$2:$A$46, 0)))*100)),MAX(0,MIN(100,(INDEX(Indicators!$P$2:$P$46, MATCH($A34, Indicators!$A$2:$A$46, 0))-$E34)/(INDEX(Indicators!$P$2:$P$46, MATCH($A34, Indicators!$A$2:$A$46, 0))-INDEX(Indicators!$O$2:$O$46, MATCH($A34, Indicators!$A$2:$A$46, 0)))*100)))),IF(INDEX(Indicators!$J$2:$J$46, MATCH($A34, Indicators!$A$2:$A$46, 0))="HigherBetter",MAX(0,MIN(100,($E34-INDEX(Indicators!$L$2:$L$46, MATCH($A34, Indicators!$A$2:$A$46, 0)))/(INDEX(Indicators!$K$2:$K$46, MATCH($A34, Indicators!$A$2:$A$46, 0))-INDEX(Indicators!$L$2:$L$46, MATCH($A34, Indicators!$A$2:$A$46, 0)))*100)),IF(INDEX(Indicators!$J$2:$J$46, MATCH($A34, Indicators!$A$2:$A$46, 0))="LowerBetter",MAX(0,MIN(100,(INDEX(Indicators!$L$2:$L$46, MATCH($A34, Indicators!$A$2:$A$46, 0))-$E34)/(INDEX(Indicators!$L$2:$L$46, MATCH($A34, Indicators!$A$2:$A$46, 0))-INDEX(Indicators!$K$2:$K$46, MATCH($A34, Indicators!$A$2:$A$46, 0)))*100)),""))))</f>
        <v/>
      </c>
      <c r="G34" s="26">
        <f>IFERROR(INDEX(Indicators!$S$2:$S$46, MATCH($A34, Indicators!$A$2:$A$46, 0)),"")</f>
        <v/>
      </c>
      <c r="H34" s="26">
        <f>IF($F34="","",$F34*$G34)</f>
        <v/>
      </c>
      <c r="I34" s="26">
        <f>IFERROR(INDEX(Indicators!$G$2:$G$46, MATCH($A34, Indicators!$A$2:$A$46, 0)),"")</f>
        <v/>
      </c>
    </row>
    <row r="35" ht="32.25" customHeight="1" s="62">
      <c r="A35" s="26" t="inlineStr">
        <is>
          <t>INT_REV</t>
        </is>
      </c>
      <c r="B35" s="26">
        <f>INDEX(Indicators!$C$2:$C$46, MATCH($A35, Indicators!$A$2:$A$46, 0))</f>
        <v/>
      </c>
      <c r="C35" s="26">
        <f>INDEX(Indicators!$B$2:$B$46, MATCH($A35, Indicators!$A$2:$A$46, 0))</f>
        <v/>
      </c>
      <c r="D35" s="26">
        <f>IFERROR(INDEX(Inputs!$B$7:$B$51, MATCH($A35, Inputs!$A$7:$A$51, 0)),"")</f>
        <v/>
      </c>
      <c r="E35" s="26">
        <f>IF($D35="","",IF(AND(INDEX(Indicators!$Q$2:$Q$46, MATCH($A35, Indicators!$A$2:$A$46, 0))="",INDEX(Indicators!$R$2:$R$46, MATCH($A35, Indicators!$A$2:$A$46, 0))=""),$D35,IF(INDEX(Indicators!$Q$2:$Q$46, MATCH($A35, Indicators!$A$2:$A$46, 0))="",MIN($D35,INDEX(Indicators!$R$2:$R$46, MATCH($A35, Indicators!$A$2:$A$46, 0))),IF(INDEX(Indicators!$R$2:$R$46, MATCH($A35, Indicators!$A$2:$A$46, 0))="",MAX($D35,INDEX(Indicators!$Q$2:$Q$46, MATCH($A35, Indicators!$A$2:$A$46, 0))),MIN(MAX($D35,INDEX(Indicators!$Q$2:$Q$46, MATCH($A35, Indicators!$A$2:$A$46, 0))),INDEX(Indicators!$R$2:$R$46, MATCH($A35, Indicators!$A$2:$A$46, 0)))))))</f>
        <v/>
      </c>
      <c r="F35" s="26">
        <f>IF($E35="","",IF(INDEX(Indicators!$I$2:$I$46, MATCH($A35, Indicators!$A$2:$A$46, 0))="TargetBand",IF(AND($E35&gt;=INDEX(Indicators!$N$2:$N$46, MATCH($A35, Indicators!$A$2:$A$46, 0)),$E35&lt;=INDEX(Indicators!$O$2:$O$46, MATCH($A35, Indicators!$A$2:$A$46, 0))),100,IF($E35&lt;INDEX(Indicators!$N$2:$N$46, MATCH($A35, Indicators!$A$2:$A$46, 0)),MAX(0,MIN(100,($E35-INDEX(Indicators!$M$2:$M$46, MATCH($A35, Indicators!$A$2:$A$46, 0)))/(INDEX(Indicators!$N$2:$N$46, MATCH($A35, Indicators!$A$2:$A$46, 0))-INDEX(Indicators!$M$2:$M$46, MATCH($A35, Indicators!$A$2:$A$46, 0)))*100)),MAX(0,MIN(100,(INDEX(Indicators!$P$2:$P$46, MATCH($A35, Indicators!$A$2:$A$46, 0))-$E35)/(INDEX(Indicators!$P$2:$P$46, MATCH($A35, Indicators!$A$2:$A$46, 0))-INDEX(Indicators!$O$2:$O$46, MATCH($A35, Indicators!$A$2:$A$46, 0)))*100)))),IF(INDEX(Indicators!$J$2:$J$46, MATCH($A35, Indicators!$A$2:$A$46, 0))="HigherBetter",MAX(0,MIN(100,($E35-INDEX(Indicators!$L$2:$L$46, MATCH($A35, Indicators!$A$2:$A$46, 0)))/(INDEX(Indicators!$K$2:$K$46, MATCH($A35, Indicators!$A$2:$A$46, 0))-INDEX(Indicators!$L$2:$L$46, MATCH($A35, Indicators!$A$2:$A$46, 0)))*100)),IF(INDEX(Indicators!$J$2:$J$46, MATCH($A35, Indicators!$A$2:$A$46, 0))="LowerBetter",MAX(0,MIN(100,(INDEX(Indicators!$L$2:$L$46, MATCH($A35, Indicators!$A$2:$A$46, 0))-$E35)/(INDEX(Indicators!$L$2:$L$46, MATCH($A35, Indicators!$A$2:$A$46, 0))-INDEX(Indicators!$K$2:$K$46, MATCH($A35, Indicators!$A$2:$A$46, 0)))*100)),""))))</f>
        <v/>
      </c>
      <c r="G35" s="26">
        <f>IFERROR(INDEX(Indicators!$S$2:$S$46, MATCH($A35, Indicators!$A$2:$A$46, 0)),"")</f>
        <v/>
      </c>
      <c r="H35" s="26">
        <f>IF($F35="","",$F35*$G35)</f>
        <v/>
      </c>
      <c r="I35" s="26">
        <f>IFERROR(INDEX(Indicators!$G$2:$G$46, MATCH($A35, Indicators!$A$2:$A$46, 0)),"")</f>
        <v/>
      </c>
    </row>
    <row r="36" ht="32.25" customHeight="1" s="62">
      <c r="A36" s="26" t="inlineStr">
        <is>
          <t>FCI</t>
        </is>
      </c>
      <c r="B36" s="26">
        <f>INDEX(Indicators!$C$2:$C$46, MATCH($A36, Indicators!$A$2:$A$46, 0))</f>
        <v/>
      </c>
      <c r="C36" s="26">
        <f>INDEX(Indicators!$B$2:$B$46, MATCH($A36, Indicators!$A$2:$A$46, 0))</f>
        <v/>
      </c>
      <c r="D36" s="26">
        <f>IFERROR(INDEX(Inputs!$B$7:$B$51, MATCH($A36, Inputs!$A$7:$A$51, 0)),"")</f>
        <v/>
      </c>
      <c r="E36" s="26">
        <f>IF($D36="","",IF(AND(INDEX(Indicators!$Q$2:$Q$46, MATCH($A36, Indicators!$A$2:$A$46, 0))="",INDEX(Indicators!$R$2:$R$46, MATCH($A36, Indicators!$A$2:$A$46, 0))=""),$D36,IF(INDEX(Indicators!$Q$2:$Q$46, MATCH($A36, Indicators!$A$2:$A$46, 0))="",MIN($D36,INDEX(Indicators!$R$2:$R$46, MATCH($A36, Indicators!$A$2:$A$46, 0))),IF(INDEX(Indicators!$R$2:$R$46, MATCH($A36, Indicators!$A$2:$A$46, 0))="",MAX($D36,INDEX(Indicators!$Q$2:$Q$46, MATCH($A36, Indicators!$A$2:$A$46, 0))),MIN(MAX($D36,INDEX(Indicators!$Q$2:$Q$46, MATCH($A36, Indicators!$A$2:$A$46, 0))),INDEX(Indicators!$R$2:$R$46, MATCH($A36, Indicators!$A$2:$A$46, 0)))))))</f>
        <v/>
      </c>
      <c r="F36" s="26">
        <f>IF($E36="","",IF(INDEX(Indicators!$I$2:$I$46, MATCH($A36, Indicators!$A$2:$A$46, 0))="TargetBand",IF(AND($E36&gt;=INDEX(Indicators!$N$2:$N$46, MATCH($A36, Indicators!$A$2:$A$46, 0)),$E36&lt;=INDEX(Indicators!$O$2:$O$46, MATCH($A36, Indicators!$A$2:$A$46, 0))),100,IF($E36&lt;INDEX(Indicators!$N$2:$N$46, MATCH($A36, Indicators!$A$2:$A$46, 0)),MAX(0,MIN(100,($E36-INDEX(Indicators!$M$2:$M$46, MATCH($A36, Indicators!$A$2:$A$46, 0)))/(INDEX(Indicators!$N$2:$N$46, MATCH($A36, Indicators!$A$2:$A$46, 0))-INDEX(Indicators!$M$2:$M$46, MATCH($A36, Indicators!$A$2:$A$46, 0)))*100)),MAX(0,MIN(100,(INDEX(Indicators!$P$2:$P$46, MATCH($A36, Indicators!$A$2:$A$46, 0))-$E36)/(INDEX(Indicators!$P$2:$P$46, MATCH($A36, Indicators!$A$2:$A$46, 0))-INDEX(Indicators!$O$2:$O$46, MATCH($A36, Indicators!$A$2:$A$46, 0)))*100)))),IF(INDEX(Indicators!$J$2:$J$46, MATCH($A36, Indicators!$A$2:$A$46, 0))="HigherBetter",MAX(0,MIN(100,($E36-INDEX(Indicators!$L$2:$L$46, MATCH($A36, Indicators!$A$2:$A$46, 0)))/(INDEX(Indicators!$K$2:$K$46, MATCH($A36, Indicators!$A$2:$A$46, 0))-INDEX(Indicators!$L$2:$L$46, MATCH($A36, Indicators!$A$2:$A$46, 0)))*100)),IF(INDEX(Indicators!$J$2:$J$46, MATCH($A36, Indicators!$A$2:$A$46, 0))="LowerBetter",MAX(0,MIN(100,(INDEX(Indicators!$L$2:$L$46, MATCH($A36, Indicators!$A$2:$A$46, 0))-$E36)/(INDEX(Indicators!$L$2:$L$46, MATCH($A36, Indicators!$A$2:$A$46, 0))-INDEX(Indicators!$K$2:$K$46, MATCH($A36, Indicators!$A$2:$A$46, 0)))*100)),""))))</f>
        <v/>
      </c>
      <c r="G36" s="26">
        <f>IFERROR(INDEX(Indicators!$S$2:$S$46, MATCH($A36, Indicators!$A$2:$A$46, 0)),"")</f>
        <v/>
      </c>
      <c r="H36" s="26">
        <f>IF($F36="","",$F36*$G36)</f>
        <v/>
      </c>
      <c r="I36" s="26">
        <f>IFERROR(INDEX(Indicators!$G$2:$G$46, MATCH($A36, Indicators!$A$2:$A$46, 0)),"")</f>
        <v/>
      </c>
    </row>
    <row r="37" ht="32.25" customHeight="1" s="62">
      <c r="A37" s="26" t="inlineStr">
        <is>
          <t>BANK_LENDING</t>
        </is>
      </c>
      <c r="B37" s="26">
        <f>INDEX(Indicators!$C$2:$C$46, MATCH($A37, Indicators!$A$2:$A$46, 0))</f>
        <v/>
      </c>
      <c r="C37" s="26">
        <f>INDEX(Indicators!$B$2:$B$46, MATCH($A37, Indicators!$A$2:$A$46, 0))</f>
        <v/>
      </c>
      <c r="D37" s="26">
        <f>IFERROR(INDEX(Inputs!$B$7:$B$51, MATCH($A37, Inputs!$A$7:$A$51, 0)),"")</f>
        <v/>
      </c>
      <c r="E37" s="26">
        <f>IF($D37="","",IF(AND(INDEX(Indicators!$Q$2:$Q$46, MATCH($A37, Indicators!$A$2:$A$46, 0))="",INDEX(Indicators!$R$2:$R$46, MATCH($A37, Indicators!$A$2:$A$46, 0))=""),$D37,IF(INDEX(Indicators!$Q$2:$Q$46, MATCH($A37, Indicators!$A$2:$A$46, 0))="",MIN($D37,INDEX(Indicators!$R$2:$R$46, MATCH($A37, Indicators!$A$2:$A$46, 0))),IF(INDEX(Indicators!$R$2:$R$46, MATCH($A37, Indicators!$A$2:$A$46, 0))="",MAX($D37,INDEX(Indicators!$Q$2:$Q$46, MATCH($A37, Indicators!$A$2:$A$46, 0))),MIN(MAX($D37,INDEX(Indicators!$Q$2:$Q$46, MATCH($A37, Indicators!$A$2:$A$46, 0))),INDEX(Indicators!$R$2:$R$46, MATCH($A37, Indicators!$A$2:$A$46, 0)))))))</f>
        <v/>
      </c>
      <c r="F37" s="26">
        <f>IF($E37="","",IF(INDEX(Indicators!$I$2:$I$46, MATCH($A37, Indicators!$A$2:$A$46, 0))="TargetBand",IF(AND($E37&gt;=INDEX(Indicators!$N$2:$N$46, MATCH($A37, Indicators!$A$2:$A$46, 0)),$E37&lt;=INDEX(Indicators!$O$2:$O$46, MATCH($A37, Indicators!$A$2:$A$46, 0))),100,IF($E37&lt;INDEX(Indicators!$N$2:$N$46, MATCH($A37, Indicators!$A$2:$A$46, 0)),MAX(0,MIN(100,($E37-INDEX(Indicators!$M$2:$M$46, MATCH($A37, Indicators!$A$2:$A$46, 0)))/(INDEX(Indicators!$N$2:$N$46, MATCH($A37, Indicators!$A$2:$A$46, 0))-INDEX(Indicators!$M$2:$M$46, MATCH($A37, Indicators!$A$2:$A$46, 0)))*100)),MAX(0,MIN(100,(INDEX(Indicators!$P$2:$P$46, MATCH($A37, Indicators!$A$2:$A$46, 0))-$E37)/(INDEX(Indicators!$P$2:$P$46, MATCH($A37, Indicators!$A$2:$A$46, 0))-INDEX(Indicators!$O$2:$O$46, MATCH($A37, Indicators!$A$2:$A$46, 0)))*100)))),IF(INDEX(Indicators!$J$2:$J$46, MATCH($A37, Indicators!$A$2:$A$46, 0))="HigherBetter",MAX(0,MIN(100,($E37-INDEX(Indicators!$L$2:$L$46, MATCH($A37, Indicators!$A$2:$A$46, 0)))/(INDEX(Indicators!$K$2:$K$46, MATCH($A37, Indicators!$A$2:$A$46, 0))-INDEX(Indicators!$L$2:$L$46, MATCH($A37, Indicators!$A$2:$A$46, 0)))*100)),IF(INDEX(Indicators!$J$2:$J$46, MATCH($A37, Indicators!$A$2:$A$46, 0))="LowerBetter",MAX(0,MIN(100,(INDEX(Indicators!$L$2:$L$46, MATCH($A37, Indicators!$A$2:$A$46, 0))-$E37)/(INDEX(Indicators!$L$2:$L$46, MATCH($A37, Indicators!$A$2:$A$46, 0))-INDEX(Indicators!$K$2:$K$46, MATCH($A37, Indicators!$A$2:$A$46, 0)))*100)),""))))</f>
        <v/>
      </c>
      <c r="G37" s="26">
        <f>IFERROR(INDEX(Indicators!$S$2:$S$46, MATCH($A37, Indicators!$A$2:$A$46, 0)),"")</f>
        <v/>
      </c>
      <c r="H37" s="26">
        <f>IF($F37="","",$F37*$G37)</f>
        <v/>
      </c>
      <c r="I37" s="26">
        <f>IFERROR(INDEX(Indicators!$G$2:$G$46, MATCH($A37, Indicators!$A$2:$A$46, 0)),"")</f>
        <v/>
      </c>
    </row>
    <row r="38" ht="68.25" customHeight="1" s="62">
      <c r="A38" s="26" t="inlineStr">
        <is>
          <t>TED_SPREAD</t>
        </is>
      </c>
      <c r="B38" s="26">
        <f>INDEX(Indicators!$C$2:$C$46, MATCH($A38, Indicators!$A$2:$A$46, 0))</f>
        <v/>
      </c>
      <c r="C38" s="26">
        <f>INDEX(Indicators!$B$2:$B$46, MATCH($A38, Indicators!$A$2:$A$46, 0))</f>
        <v/>
      </c>
      <c r="D38" s="26">
        <f>IFERROR(INDEX(Inputs!$B$7:$B$51, MATCH($A38, Inputs!$A$7:$A$51, 0)),"")</f>
        <v/>
      </c>
      <c r="E38" s="26">
        <f>IF($D38="","",IF(AND(INDEX(Indicators!$Q$2:$Q$46, MATCH($A38, Indicators!$A$2:$A$46, 0))="",INDEX(Indicators!$R$2:$R$46, MATCH($A38, Indicators!$A$2:$A$46, 0))=""),$D38,IF(INDEX(Indicators!$Q$2:$Q$46, MATCH($A38, Indicators!$A$2:$A$46, 0))="",MIN($D38,INDEX(Indicators!$R$2:$R$46, MATCH($A38, Indicators!$A$2:$A$46, 0))),IF(INDEX(Indicators!$R$2:$R$46, MATCH($A38, Indicators!$A$2:$A$46, 0))="",MAX($D38,INDEX(Indicators!$Q$2:$Q$46, MATCH($A38, Indicators!$A$2:$A$46, 0))),MIN(MAX($D38,INDEX(Indicators!$Q$2:$Q$46, MATCH($A38, Indicators!$A$2:$A$46, 0))),INDEX(Indicators!$R$2:$R$46, MATCH($A38, Indicators!$A$2:$A$46, 0)))))))</f>
        <v/>
      </c>
      <c r="F38" s="26">
        <f>IF($E38="","",IF(INDEX(Indicators!$I$2:$I$46, MATCH($A38, Indicators!$A$2:$A$46, 0))="TargetBand",IF(AND($E38&gt;=INDEX(Indicators!$N$2:$N$46, MATCH($A38, Indicators!$A$2:$A$46, 0)),$E38&lt;=INDEX(Indicators!$O$2:$O$46, MATCH($A38, Indicators!$A$2:$A$46, 0))),100,IF($E38&lt;INDEX(Indicators!$N$2:$N$46, MATCH($A38, Indicators!$A$2:$A$46, 0)),MAX(0,MIN(100,($E38-INDEX(Indicators!$M$2:$M$46, MATCH($A38, Indicators!$A$2:$A$46, 0)))/(INDEX(Indicators!$N$2:$N$46, MATCH($A38, Indicators!$A$2:$A$46, 0))-INDEX(Indicators!$M$2:$M$46, MATCH($A38, Indicators!$A$2:$A$46, 0)))*100)),MAX(0,MIN(100,(INDEX(Indicators!$P$2:$P$46, MATCH($A38, Indicators!$A$2:$A$46, 0))-$E38)/(INDEX(Indicators!$P$2:$P$46, MATCH($A38, Indicators!$A$2:$A$46, 0))-INDEX(Indicators!$O$2:$O$46, MATCH($A38, Indicators!$A$2:$A$46, 0)))*100)))),IF(INDEX(Indicators!$J$2:$J$46, MATCH($A38, Indicators!$A$2:$A$46, 0))="HigherBetter",MAX(0,MIN(100,($E38-INDEX(Indicators!$L$2:$L$46, MATCH($A38, Indicators!$A$2:$A$46, 0)))/(INDEX(Indicators!$K$2:$K$46, MATCH($A38, Indicators!$A$2:$A$46, 0))-INDEX(Indicators!$L$2:$L$46, MATCH($A38, Indicators!$A$2:$A$46, 0)))*100)),IF(INDEX(Indicators!$J$2:$J$46, MATCH($A38, Indicators!$A$2:$A$46, 0))="LowerBetter",MAX(0,MIN(100,(INDEX(Indicators!$L$2:$L$46, MATCH($A38, Indicators!$A$2:$A$46, 0))-$E38)/(INDEX(Indicators!$L$2:$L$46, MATCH($A38, Indicators!$A$2:$A$46, 0))-INDEX(Indicators!$K$2:$K$46, MATCH($A38, Indicators!$A$2:$A$46, 0)))*100)),""))))</f>
        <v/>
      </c>
      <c r="G38" s="26">
        <f>IFERROR(INDEX(Indicators!$S$2:$S$46, MATCH($A38, Indicators!$A$2:$A$46, 0)),"")</f>
        <v/>
      </c>
      <c r="H38" s="26">
        <f>IF($F38="","",$F38*$G38)</f>
        <v/>
      </c>
      <c r="I38" s="26">
        <f>IFERROR(INDEX(Indicators!$G$2:$G$46, MATCH($A38, Indicators!$A$2:$A$46, 0)),"")</f>
        <v/>
      </c>
    </row>
    <row r="39" ht="32.25" customHeight="1" s="62">
      <c r="A39" s="26" t="inlineStr">
        <is>
          <t>WTI</t>
        </is>
      </c>
      <c r="B39" s="26">
        <f>INDEX(Indicators!$C$2:$C$46, MATCH($A39, Indicators!$A$2:$A$46, 0))</f>
        <v/>
      </c>
      <c r="C39" s="26">
        <f>INDEX(Indicators!$B$2:$B$46, MATCH($A39, Indicators!$A$2:$A$46, 0))</f>
        <v/>
      </c>
      <c r="D39" s="26">
        <f>IFERROR(INDEX(Inputs!$B$7:$B$51, MATCH($A39, Inputs!$A$7:$A$51, 0)),"")</f>
        <v/>
      </c>
      <c r="E39" s="26">
        <f>IF($D39="","",IF(AND(INDEX(Indicators!$Q$2:$Q$46, MATCH($A39, Indicators!$A$2:$A$46, 0))="",INDEX(Indicators!$R$2:$R$46, MATCH($A39, Indicators!$A$2:$A$46, 0))=""),$D39,IF(INDEX(Indicators!$Q$2:$Q$46, MATCH($A39, Indicators!$A$2:$A$46, 0))="",MIN($D39,INDEX(Indicators!$R$2:$R$46, MATCH($A39, Indicators!$A$2:$A$46, 0))),IF(INDEX(Indicators!$R$2:$R$46, MATCH($A39, Indicators!$A$2:$A$46, 0))="",MAX($D39,INDEX(Indicators!$Q$2:$Q$46, MATCH($A39, Indicators!$A$2:$A$46, 0))),MIN(MAX($D39,INDEX(Indicators!$Q$2:$Q$46, MATCH($A39, Indicators!$A$2:$A$46, 0))),INDEX(Indicators!$R$2:$R$46, MATCH($A39, Indicators!$A$2:$A$46, 0)))))))</f>
        <v/>
      </c>
      <c r="F39" s="26">
        <f>IF($E39="","",IF(INDEX(Indicators!$I$2:$I$46, MATCH($A39, Indicators!$A$2:$A$46, 0))="TargetBand",IF(AND($E39&gt;=INDEX(Indicators!$N$2:$N$46, MATCH($A39, Indicators!$A$2:$A$46, 0)),$E39&lt;=INDEX(Indicators!$O$2:$O$46, MATCH($A39, Indicators!$A$2:$A$46, 0))),100,IF($E39&lt;INDEX(Indicators!$N$2:$N$46, MATCH($A39, Indicators!$A$2:$A$46, 0)),MAX(0,MIN(100,($E39-INDEX(Indicators!$M$2:$M$46, MATCH($A39, Indicators!$A$2:$A$46, 0)))/(INDEX(Indicators!$N$2:$N$46, MATCH($A39, Indicators!$A$2:$A$46, 0))-INDEX(Indicators!$M$2:$M$46, MATCH($A39, Indicators!$A$2:$A$46, 0)))*100)),MAX(0,MIN(100,(INDEX(Indicators!$P$2:$P$46, MATCH($A39, Indicators!$A$2:$A$46, 0))-$E39)/(INDEX(Indicators!$P$2:$P$46, MATCH($A39, Indicators!$A$2:$A$46, 0))-INDEX(Indicators!$O$2:$O$46, MATCH($A39, Indicators!$A$2:$A$46, 0)))*100)))),IF(INDEX(Indicators!$J$2:$J$46, MATCH($A39, Indicators!$A$2:$A$46, 0))="HigherBetter",MAX(0,MIN(100,($E39-INDEX(Indicators!$L$2:$L$46, MATCH($A39, Indicators!$A$2:$A$46, 0)))/(INDEX(Indicators!$K$2:$K$46, MATCH($A39, Indicators!$A$2:$A$46, 0))-INDEX(Indicators!$L$2:$L$46, MATCH($A39, Indicators!$A$2:$A$46, 0)))*100)),IF(INDEX(Indicators!$J$2:$J$46, MATCH($A39, Indicators!$A$2:$A$46, 0))="LowerBetter",MAX(0,MIN(100,(INDEX(Indicators!$L$2:$L$46, MATCH($A39, Indicators!$A$2:$A$46, 0))-$E39)/(INDEX(Indicators!$L$2:$L$46, MATCH($A39, Indicators!$A$2:$A$46, 0))-INDEX(Indicators!$K$2:$K$46, MATCH($A39, Indicators!$A$2:$A$46, 0)))*100)),""))))</f>
        <v/>
      </c>
      <c r="G39" s="26">
        <f>IFERROR(INDEX(Indicators!$S$2:$S$46, MATCH($A39, Indicators!$A$2:$A$46, 0)),"")</f>
        <v/>
      </c>
      <c r="H39" s="26">
        <f>IF($F39="","",$F39*$G39)</f>
        <v/>
      </c>
      <c r="I39" s="26">
        <f>IFERROR(INDEX(Indicators!$G$2:$G$46, MATCH($A39, Indicators!$A$2:$A$46, 0)),"")</f>
        <v/>
      </c>
    </row>
    <row r="40" ht="32.25" customHeight="1" s="62">
      <c r="A40" s="26" t="inlineStr">
        <is>
          <t>CRB</t>
        </is>
      </c>
      <c r="B40" s="26">
        <f>INDEX(Indicators!$C$2:$C$46, MATCH($A40, Indicators!$A$2:$A$46, 0))</f>
        <v/>
      </c>
      <c r="C40" s="26">
        <f>INDEX(Indicators!$B$2:$B$46, MATCH($A40, Indicators!$A$2:$A$46, 0))</f>
        <v/>
      </c>
      <c r="D40" s="26">
        <f>IFERROR(INDEX(Inputs!$B$7:$B$51, MATCH($A40, Inputs!$A$7:$A$51, 0)),"")</f>
        <v/>
      </c>
      <c r="E40" s="26">
        <f>IF($D40="","",IF(AND(INDEX(Indicators!$Q$2:$Q$46, MATCH($A40, Indicators!$A$2:$A$46, 0))="",INDEX(Indicators!$R$2:$R$46, MATCH($A40, Indicators!$A$2:$A$46, 0))=""),$D40,IF(INDEX(Indicators!$Q$2:$Q$46, MATCH($A40, Indicators!$A$2:$A$46, 0))="",MIN($D40,INDEX(Indicators!$R$2:$R$46, MATCH($A40, Indicators!$A$2:$A$46, 0))),IF(INDEX(Indicators!$R$2:$R$46, MATCH($A40, Indicators!$A$2:$A$46, 0))="",MAX($D40,INDEX(Indicators!$Q$2:$Q$46, MATCH($A40, Indicators!$A$2:$A$46, 0))),MIN(MAX($D40,INDEX(Indicators!$Q$2:$Q$46, MATCH($A40, Indicators!$A$2:$A$46, 0))),INDEX(Indicators!$R$2:$R$46, MATCH($A40, Indicators!$A$2:$A$46, 0)))))))</f>
        <v/>
      </c>
      <c r="F40" s="26">
        <f>IF($E40="","",IF(INDEX(Indicators!$I$2:$I$46, MATCH($A40, Indicators!$A$2:$A$46, 0))="TargetBand",IF(AND($E40&gt;=INDEX(Indicators!$N$2:$N$46, MATCH($A40, Indicators!$A$2:$A$46, 0)),$E40&lt;=INDEX(Indicators!$O$2:$O$46, MATCH($A40, Indicators!$A$2:$A$46, 0))),100,IF($E40&lt;INDEX(Indicators!$N$2:$N$46, MATCH($A40, Indicators!$A$2:$A$46, 0)),MAX(0,MIN(100,($E40-INDEX(Indicators!$M$2:$M$46, MATCH($A40, Indicators!$A$2:$A$46, 0)))/(INDEX(Indicators!$N$2:$N$46, MATCH($A40, Indicators!$A$2:$A$46, 0))-INDEX(Indicators!$M$2:$M$46, MATCH($A40, Indicators!$A$2:$A$46, 0)))*100)),MAX(0,MIN(100,(INDEX(Indicators!$P$2:$P$46, MATCH($A40, Indicators!$A$2:$A$46, 0))-$E40)/(INDEX(Indicators!$P$2:$P$46, MATCH($A40, Indicators!$A$2:$A$46, 0))-INDEX(Indicators!$O$2:$O$46, MATCH($A40, Indicators!$A$2:$A$46, 0)))*100)))),IF(INDEX(Indicators!$J$2:$J$46, MATCH($A40, Indicators!$A$2:$A$46, 0))="HigherBetter",MAX(0,MIN(100,($E40-INDEX(Indicators!$L$2:$L$46, MATCH($A40, Indicators!$A$2:$A$46, 0)))/(INDEX(Indicators!$K$2:$K$46, MATCH($A40, Indicators!$A$2:$A$46, 0))-INDEX(Indicators!$L$2:$L$46, MATCH($A40, Indicators!$A$2:$A$46, 0)))*100)),IF(INDEX(Indicators!$J$2:$J$46, MATCH($A40, Indicators!$A$2:$A$46, 0))="LowerBetter",MAX(0,MIN(100,(INDEX(Indicators!$L$2:$L$46, MATCH($A40, Indicators!$A$2:$A$46, 0))-$E40)/(INDEX(Indicators!$L$2:$L$46, MATCH($A40, Indicators!$A$2:$A$46, 0))-INDEX(Indicators!$K$2:$K$46, MATCH($A40, Indicators!$A$2:$A$46, 0)))*100)),""))))</f>
        <v/>
      </c>
      <c r="G40" s="26">
        <f>IFERROR(INDEX(Indicators!$S$2:$S$46, MATCH($A40, Indicators!$A$2:$A$46, 0)),"")</f>
        <v/>
      </c>
      <c r="H40" s="26">
        <f>IF($F40="","",$F40*$G40)</f>
        <v/>
      </c>
      <c r="I40" s="26">
        <f>IFERROR(INDEX(Indicators!$G$2:$G$46, MATCH($A40, Indicators!$A$2:$A$46, 0)),"")</f>
        <v/>
      </c>
    </row>
    <row r="41" ht="57" customHeight="1" s="62">
      <c r="A41" s="26" t="inlineStr">
        <is>
          <t>GPR</t>
        </is>
      </c>
      <c r="B41" s="26">
        <f>INDEX(Indicators!$C$2:$C$46, MATCH($A41, Indicators!$A$2:$A$46, 0))</f>
        <v/>
      </c>
      <c r="C41" s="26">
        <f>INDEX(Indicators!$B$2:$B$46, MATCH($A41, Indicators!$A$2:$A$46, 0))</f>
        <v/>
      </c>
      <c r="D41" s="26">
        <f>IFERROR(INDEX(Inputs!$B$7:$B$51, MATCH($A41, Inputs!$A$7:$A$51, 0)),"")</f>
        <v/>
      </c>
      <c r="E41" s="26">
        <f>IF($D41="","",IF(AND(INDEX(Indicators!$Q$2:$Q$46, MATCH($A41, Indicators!$A$2:$A$46, 0))="",INDEX(Indicators!$R$2:$R$46, MATCH($A41, Indicators!$A$2:$A$46, 0))=""),$D41,IF(INDEX(Indicators!$Q$2:$Q$46, MATCH($A41, Indicators!$A$2:$A$46, 0))="",MIN($D41,INDEX(Indicators!$R$2:$R$46, MATCH($A41, Indicators!$A$2:$A$46, 0))),IF(INDEX(Indicators!$R$2:$R$46, MATCH($A41, Indicators!$A$2:$A$46, 0))="",MAX($D41,INDEX(Indicators!$Q$2:$Q$46, MATCH($A41, Indicators!$A$2:$A$46, 0))),MIN(MAX($D41,INDEX(Indicators!$Q$2:$Q$46, MATCH($A41, Indicators!$A$2:$A$46, 0))),INDEX(Indicators!$R$2:$R$46, MATCH($A41, Indicators!$A$2:$A$46, 0)))))))</f>
        <v/>
      </c>
      <c r="F41" s="26">
        <f>IF($E41="","",IF(INDEX(Indicators!$I$2:$I$46, MATCH($A41, Indicators!$A$2:$A$46, 0))="TargetBand",IF(AND($E41&gt;=INDEX(Indicators!$N$2:$N$46, MATCH($A41, Indicators!$A$2:$A$46, 0)),$E41&lt;=INDEX(Indicators!$O$2:$O$46, MATCH($A41, Indicators!$A$2:$A$46, 0))),100,IF($E41&lt;INDEX(Indicators!$N$2:$N$46, MATCH($A41, Indicators!$A$2:$A$46, 0)),MAX(0,MIN(100,($E41-INDEX(Indicators!$M$2:$M$46, MATCH($A41, Indicators!$A$2:$A$46, 0)))/(INDEX(Indicators!$N$2:$N$46, MATCH($A41, Indicators!$A$2:$A$46, 0))-INDEX(Indicators!$M$2:$M$46, MATCH($A41, Indicators!$A$2:$A$46, 0)))*100)),MAX(0,MIN(100,(INDEX(Indicators!$P$2:$P$46, MATCH($A41, Indicators!$A$2:$A$46, 0))-$E41)/(INDEX(Indicators!$P$2:$P$46, MATCH($A41, Indicators!$A$2:$A$46, 0))-INDEX(Indicators!$O$2:$O$46, MATCH($A41, Indicators!$A$2:$A$46, 0)))*100)))),IF(INDEX(Indicators!$J$2:$J$46, MATCH($A41, Indicators!$A$2:$A$46, 0))="HigherBetter",MAX(0,MIN(100,($E41-INDEX(Indicators!$L$2:$L$46, MATCH($A41, Indicators!$A$2:$A$46, 0)))/(INDEX(Indicators!$K$2:$K$46, MATCH($A41, Indicators!$A$2:$A$46, 0))-INDEX(Indicators!$L$2:$L$46, MATCH($A41, Indicators!$A$2:$A$46, 0)))*100)),IF(INDEX(Indicators!$J$2:$J$46, MATCH($A41, Indicators!$A$2:$A$46, 0))="LowerBetter",MAX(0,MIN(100,(INDEX(Indicators!$L$2:$L$46, MATCH($A41, Indicators!$A$2:$A$46, 0))-$E41)/(INDEX(Indicators!$L$2:$L$46, MATCH($A41, Indicators!$A$2:$A$46, 0))-INDEX(Indicators!$K$2:$K$46, MATCH($A41, Indicators!$A$2:$A$46, 0)))*100)),""))))</f>
        <v/>
      </c>
      <c r="G41" s="26">
        <f>IFERROR(INDEX(Indicators!$S$2:$S$46, MATCH($A41, Indicators!$A$2:$A$46, 0)),"")</f>
        <v/>
      </c>
      <c r="H41" s="26">
        <f>IF($F41="","",$F41*$G41)</f>
        <v/>
      </c>
      <c r="I41" s="26">
        <f>IFERROR(INDEX(Indicators!$G$2:$G$46, MATCH($A41, Indicators!$A$2:$A$46, 0)),"")</f>
        <v/>
      </c>
    </row>
    <row r="42" ht="57" customHeight="1" s="62">
      <c r="A42" s="26" t="inlineStr">
        <is>
          <t>CB_CONS_CONF</t>
        </is>
      </c>
      <c r="B42" s="26">
        <f>INDEX(Indicators!$C$2:$C$46, MATCH($A42, Indicators!$A$2:$A$46, 0))</f>
        <v/>
      </c>
      <c r="C42" s="26">
        <f>INDEX(Indicators!$B$2:$B$46, MATCH($A42, Indicators!$A$2:$A$46, 0))</f>
        <v/>
      </c>
      <c r="D42" s="26">
        <f>IFERROR(INDEX(Inputs!$B$7:$B$51, MATCH($A42, Inputs!$A$7:$A$51, 0)),"")</f>
        <v/>
      </c>
      <c r="E42" s="26">
        <f>IF($D42="","",IF(AND(INDEX(Indicators!$Q$2:$Q$46, MATCH($A42, Indicators!$A$2:$A$46, 0))="",INDEX(Indicators!$R$2:$R$46, MATCH($A42, Indicators!$A$2:$A$46, 0))=""),$D42,IF(INDEX(Indicators!$Q$2:$Q$46, MATCH($A42, Indicators!$A$2:$A$46, 0))="",MIN($D42,INDEX(Indicators!$R$2:$R$46, MATCH($A42, Indicators!$A$2:$A$46, 0))),IF(INDEX(Indicators!$R$2:$R$46, MATCH($A42, Indicators!$A$2:$A$46, 0))="",MAX($D42,INDEX(Indicators!$Q$2:$Q$46, MATCH($A42, Indicators!$A$2:$A$46, 0))),MIN(MAX($D42,INDEX(Indicators!$Q$2:$Q$46, MATCH($A42, Indicators!$A$2:$A$46, 0))),INDEX(Indicators!$R$2:$R$46, MATCH($A42, Indicators!$A$2:$A$46, 0)))))))</f>
        <v/>
      </c>
      <c r="F42" s="26">
        <f>IF($E42="","",IF(INDEX(Indicators!$I$2:$I$46, MATCH($A42, Indicators!$A$2:$A$46, 0))="TargetBand",IF(AND($E42&gt;=INDEX(Indicators!$N$2:$N$46, MATCH($A42, Indicators!$A$2:$A$46, 0)),$E42&lt;=INDEX(Indicators!$O$2:$O$46, MATCH($A42, Indicators!$A$2:$A$46, 0))),100,IF($E42&lt;INDEX(Indicators!$N$2:$N$46, MATCH($A42, Indicators!$A$2:$A$46, 0)),MAX(0,MIN(100,($E42-INDEX(Indicators!$M$2:$M$46, MATCH($A42, Indicators!$A$2:$A$46, 0)))/(INDEX(Indicators!$N$2:$N$46, MATCH($A42, Indicators!$A$2:$A$46, 0))-INDEX(Indicators!$M$2:$M$46, MATCH($A42, Indicators!$A$2:$A$46, 0)))*100)),MAX(0,MIN(100,(INDEX(Indicators!$P$2:$P$46, MATCH($A42, Indicators!$A$2:$A$46, 0))-$E42)/(INDEX(Indicators!$P$2:$P$46, MATCH($A42, Indicators!$A$2:$A$46, 0))-INDEX(Indicators!$O$2:$O$46, MATCH($A42, Indicators!$A$2:$A$46, 0)))*100)))),IF(INDEX(Indicators!$J$2:$J$46, MATCH($A42, Indicators!$A$2:$A$46, 0))="HigherBetter",MAX(0,MIN(100,($E42-INDEX(Indicators!$L$2:$L$46, MATCH($A42, Indicators!$A$2:$A$46, 0)))/(INDEX(Indicators!$K$2:$K$46, MATCH($A42, Indicators!$A$2:$A$46, 0))-INDEX(Indicators!$L$2:$L$46, MATCH($A42, Indicators!$A$2:$A$46, 0)))*100)),IF(INDEX(Indicators!$J$2:$J$46, MATCH($A42, Indicators!$A$2:$A$46, 0))="LowerBetter",MAX(0,MIN(100,(INDEX(Indicators!$L$2:$L$46, MATCH($A42, Indicators!$A$2:$A$46, 0))-$E42)/(INDEX(Indicators!$L$2:$L$46, MATCH($A42, Indicators!$A$2:$A$46, 0))-INDEX(Indicators!$K$2:$K$46, MATCH($A42, Indicators!$A$2:$A$46, 0)))*100)),""))))</f>
        <v/>
      </c>
      <c r="G42" s="26">
        <f>IFERROR(INDEX(Indicators!$S$2:$S$46, MATCH($A42, Indicators!$A$2:$A$46, 0)),"")</f>
        <v/>
      </c>
      <c r="H42" s="26">
        <f>IF($F42="","",$F42*$G42)</f>
        <v/>
      </c>
      <c r="I42" s="26">
        <f>IFERROR(INDEX(Indicators!$G$2:$G$46, MATCH($A42, Indicators!$A$2:$A$46, 0)),"")</f>
        <v/>
      </c>
    </row>
    <row r="43" ht="102" customHeight="1" s="62">
      <c r="A43" s="26" t="inlineStr">
        <is>
          <t>CEO_CONF</t>
        </is>
      </c>
      <c r="B43" s="26">
        <f>INDEX(Indicators!$C$2:$C$46, MATCH($A43, Indicators!$A$2:$A$46, 0))</f>
        <v/>
      </c>
      <c r="C43" s="26">
        <f>INDEX(Indicators!$B$2:$B$46, MATCH($A43, Indicators!$A$2:$A$46, 0))</f>
        <v/>
      </c>
      <c r="D43" s="26">
        <f>IFERROR(INDEX(Inputs!$B$7:$B$51, MATCH($A43, Inputs!$A$7:$A$51, 0)),"")</f>
        <v/>
      </c>
      <c r="E43" s="26">
        <f>IF($D43="","",IF(AND(INDEX(Indicators!$Q$2:$Q$46, MATCH($A43, Indicators!$A$2:$A$46, 0))="",INDEX(Indicators!$R$2:$R$46, MATCH($A43, Indicators!$A$2:$A$46, 0))=""),$D43,IF(INDEX(Indicators!$Q$2:$Q$46, MATCH($A43, Indicators!$A$2:$A$46, 0))="",MIN($D43,INDEX(Indicators!$R$2:$R$46, MATCH($A43, Indicators!$A$2:$A$46, 0))),IF(INDEX(Indicators!$R$2:$R$46, MATCH($A43, Indicators!$A$2:$A$46, 0))="",MAX($D43,INDEX(Indicators!$Q$2:$Q$46, MATCH($A43, Indicators!$A$2:$A$46, 0))),MIN(MAX($D43,INDEX(Indicators!$Q$2:$Q$46, MATCH($A43, Indicators!$A$2:$A$46, 0))),INDEX(Indicators!$R$2:$R$46, MATCH($A43, Indicators!$A$2:$A$46, 0)))))))</f>
        <v/>
      </c>
      <c r="F43" s="26">
        <f>IF($E43="","",IF(INDEX(Indicators!$I$2:$I$46, MATCH($A43, Indicators!$A$2:$A$46, 0))="TargetBand",IF(AND($E43&gt;=INDEX(Indicators!$N$2:$N$46, MATCH($A43, Indicators!$A$2:$A$46, 0)),$E43&lt;=INDEX(Indicators!$O$2:$O$46, MATCH($A43, Indicators!$A$2:$A$46, 0))),100,IF($E43&lt;INDEX(Indicators!$N$2:$N$46, MATCH($A43, Indicators!$A$2:$A$46, 0)),MAX(0,MIN(100,($E43-INDEX(Indicators!$M$2:$M$46, MATCH($A43, Indicators!$A$2:$A$46, 0)))/(INDEX(Indicators!$N$2:$N$46, MATCH($A43, Indicators!$A$2:$A$46, 0))-INDEX(Indicators!$M$2:$M$46, MATCH($A43, Indicators!$A$2:$A$46, 0)))*100)),MAX(0,MIN(100,(INDEX(Indicators!$P$2:$P$46, MATCH($A43, Indicators!$A$2:$A$46, 0))-$E43)/(INDEX(Indicators!$P$2:$P$46, MATCH($A43, Indicators!$A$2:$A$46, 0))-INDEX(Indicators!$O$2:$O$46, MATCH($A43, Indicators!$A$2:$A$46, 0)))*100)))),IF(INDEX(Indicators!$J$2:$J$46, MATCH($A43, Indicators!$A$2:$A$46, 0))="HigherBetter",MAX(0,MIN(100,($E43-INDEX(Indicators!$L$2:$L$46, MATCH($A43, Indicators!$A$2:$A$46, 0)))/(INDEX(Indicators!$K$2:$K$46, MATCH($A43, Indicators!$A$2:$A$46, 0))-INDEX(Indicators!$L$2:$L$46, MATCH($A43, Indicators!$A$2:$A$46, 0)))*100)),IF(INDEX(Indicators!$J$2:$J$46, MATCH($A43, Indicators!$A$2:$A$46, 0))="LowerBetter",MAX(0,MIN(100,(INDEX(Indicators!$L$2:$L$46, MATCH($A43, Indicators!$A$2:$A$46, 0))-$E43)/(INDEX(Indicators!$L$2:$L$46, MATCH($A43, Indicators!$A$2:$A$46, 0))-INDEX(Indicators!$K$2:$K$46, MATCH($A43, Indicators!$A$2:$A$46, 0)))*100)),""))))</f>
        <v/>
      </c>
      <c r="G43" s="26">
        <f>IFERROR(INDEX(Indicators!$S$2:$S$46, MATCH($A43, Indicators!$A$2:$A$46, 0)),"")</f>
        <v/>
      </c>
      <c r="H43" s="26">
        <f>IF($F43="","",$F43*$G43)</f>
        <v/>
      </c>
      <c r="I43" s="26">
        <f>IFERROR(INDEX(Indicators!$G$2:$G$46, MATCH($A43, Indicators!$A$2:$A$46, 0)),"")</f>
        <v/>
      </c>
    </row>
    <row r="44" ht="57" customHeight="1" s="62">
      <c r="A44" s="26" t="inlineStr">
        <is>
          <t>EPU</t>
        </is>
      </c>
      <c r="B44" s="26">
        <f>INDEX(Indicators!$C$2:$C$46, MATCH($A44, Indicators!$A$2:$A$46, 0))</f>
        <v/>
      </c>
      <c r="C44" s="26">
        <f>INDEX(Indicators!$B$2:$B$46, MATCH($A44, Indicators!$A$2:$A$46, 0))</f>
        <v/>
      </c>
      <c r="D44" s="26">
        <f>IFERROR(INDEX(Inputs!$B$7:$B$51, MATCH($A44, Inputs!$A$7:$A$51, 0)),"")</f>
        <v/>
      </c>
      <c r="E44" s="26">
        <f>IF($D44="","",IF(AND(INDEX(Indicators!$Q$2:$Q$46, MATCH($A44, Indicators!$A$2:$A$46, 0))="",INDEX(Indicators!$R$2:$R$46, MATCH($A44, Indicators!$A$2:$A$46, 0))=""),$D44,IF(INDEX(Indicators!$Q$2:$Q$46, MATCH($A44, Indicators!$A$2:$A$46, 0))="",MIN($D44,INDEX(Indicators!$R$2:$R$46, MATCH($A44, Indicators!$A$2:$A$46, 0))),IF(INDEX(Indicators!$R$2:$R$46, MATCH($A44, Indicators!$A$2:$A$46, 0))="",MAX($D44,INDEX(Indicators!$Q$2:$Q$46, MATCH($A44, Indicators!$A$2:$A$46, 0))),MIN(MAX($D44,INDEX(Indicators!$Q$2:$Q$46, MATCH($A44, Indicators!$A$2:$A$46, 0))),INDEX(Indicators!$R$2:$R$46, MATCH($A44, Indicators!$A$2:$A$46, 0)))))))</f>
        <v/>
      </c>
      <c r="F44" s="26">
        <f>IF($E44="","",IF(INDEX(Indicators!$I$2:$I$46, MATCH($A44, Indicators!$A$2:$A$46, 0))="TargetBand",IF(AND($E44&gt;=INDEX(Indicators!$N$2:$N$46, MATCH($A44, Indicators!$A$2:$A$46, 0)),$E44&lt;=INDEX(Indicators!$O$2:$O$46, MATCH($A44, Indicators!$A$2:$A$46, 0))),100,IF($E44&lt;INDEX(Indicators!$N$2:$N$46, MATCH($A44, Indicators!$A$2:$A$46, 0)),MAX(0,MIN(100,($E44-INDEX(Indicators!$M$2:$M$46, MATCH($A44, Indicators!$A$2:$A$46, 0)))/(INDEX(Indicators!$N$2:$N$46, MATCH($A44, Indicators!$A$2:$A$46, 0))-INDEX(Indicators!$M$2:$M$46, MATCH($A44, Indicators!$A$2:$A$46, 0)))*100)),MAX(0,MIN(100,(INDEX(Indicators!$P$2:$P$46, MATCH($A44, Indicators!$A$2:$A$46, 0))-$E44)/(INDEX(Indicators!$P$2:$P$46, MATCH($A44, Indicators!$A$2:$A$46, 0))-INDEX(Indicators!$O$2:$O$46, MATCH($A44, Indicators!$A$2:$A$46, 0)))*100)))),IF(INDEX(Indicators!$J$2:$J$46, MATCH($A44, Indicators!$A$2:$A$46, 0))="HigherBetter",MAX(0,MIN(100,($E44-INDEX(Indicators!$L$2:$L$46, MATCH($A44, Indicators!$A$2:$A$46, 0)))/(INDEX(Indicators!$K$2:$K$46, MATCH($A44, Indicators!$A$2:$A$46, 0))-INDEX(Indicators!$L$2:$L$46, MATCH($A44, Indicators!$A$2:$A$46, 0)))*100)),IF(INDEX(Indicators!$J$2:$J$46, MATCH($A44, Indicators!$A$2:$A$46, 0))="LowerBetter",MAX(0,MIN(100,(INDEX(Indicators!$L$2:$L$46, MATCH($A44, Indicators!$A$2:$A$46, 0))-$E44)/(INDEX(Indicators!$L$2:$L$46, MATCH($A44, Indicators!$A$2:$A$46, 0))-INDEX(Indicators!$K$2:$K$46, MATCH($A44, Indicators!$A$2:$A$46, 0)))*100)),""))))</f>
        <v/>
      </c>
      <c r="G44" s="26">
        <f>IFERROR(INDEX(Indicators!$S$2:$S$46, MATCH($A44, Indicators!$A$2:$A$46, 0)),"")</f>
        <v/>
      </c>
      <c r="H44" s="26">
        <f>IF($F44="","",$F44*$G44)</f>
        <v/>
      </c>
      <c r="I44" s="26">
        <f>IFERROR(INDEX(Indicators!$G$2:$G$46, MATCH($A44, Indicators!$A$2:$A$46, 0)),"")</f>
        <v/>
      </c>
    </row>
    <row r="45" ht="45.75" customHeight="1" s="62">
      <c r="A45" s="26" t="inlineStr">
        <is>
          <t>CLOUD_AI_GROWTH</t>
        </is>
      </c>
      <c r="B45" s="26">
        <f>INDEX(Indicators!$C$2:$C$46, MATCH($A45, Indicators!$A$2:$A$46, 0))</f>
        <v/>
      </c>
      <c r="C45" s="26">
        <f>INDEX(Indicators!$B$2:$B$46, MATCH($A45, Indicators!$A$2:$A$46, 0))</f>
        <v/>
      </c>
      <c r="D45" s="26">
        <f>IFERROR(INDEX(Inputs!$B$7:$B$51, MATCH($A45, Inputs!$A$7:$A$51, 0)),"")</f>
        <v/>
      </c>
      <c r="E45" s="26">
        <f>IF($D45="","",IF(AND(INDEX(Indicators!$Q$2:$Q$46, MATCH($A45, Indicators!$A$2:$A$46, 0))="",INDEX(Indicators!$R$2:$R$46, MATCH($A45, Indicators!$A$2:$A$46, 0))=""),$D45,IF(INDEX(Indicators!$Q$2:$Q$46, MATCH($A45, Indicators!$A$2:$A$46, 0))="",MIN($D45,INDEX(Indicators!$R$2:$R$46, MATCH($A45, Indicators!$A$2:$A$46, 0))),IF(INDEX(Indicators!$R$2:$R$46, MATCH($A45, Indicators!$A$2:$A$46, 0))="",MAX($D45,INDEX(Indicators!$Q$2:$Q$46, MATCH($A45, Indicators!$A$2:$A$46, 0))),MIN(MAX($D45,INDEX(Indicators!$Q$2:$Q$46, MATCH($A45, Indicators!$A$2:$A$46, 0))),INDEX(Indicators!$R$2:$R$46, MATCH($A45, Indicators!$A$2:$A$46, 0)))))))</f>
        <v/>
      </c>
      <c r="F45" s="26">
        <f>IF($E45="","",IF(INDEX(Indicators!$I$2:$I$46, MATCH($A45, Indicators!$A$2:$A$46, 0))="TargetBand",IF(AND($E45&gt;=INDEX(Indicators!$N$2:$N$46, MATCH($A45, Indicators!$A$2:$A$46, 0)),$E45&lt;=INDEX(Indicators!$O$2:$O$46, MATCH($A45, Indicators!$A$2:$A$46, 0))),100,IF($E45&lt;INDEX(Indicators!$N$2:$N$46, MATCH($A45, Indicators!$A$2:$A$46, 0)),MAX(0,MIN(100,($E45-INDEX(Indicators!$M$2:$M$46, MATCH($A45, Indicators!$A$2:$A$46, 0)))/(INDEX(Indicators!$N$2:$N$46, MATCH($A45, Indicators!$A$2:$A$46, 0))-INDEX(Indicators!$M$2:$M$46, MATCH($A45, Indicators!$A$2:$A$46, 0)))*100)),MAX(0,MIN(100,(INDEX(Indicators!$P$2:$P$46, MATCH($A45, Indicators!$A$2:$A$46, 0))-$E45)/(INDEX(Indicators!$P$2:$P$46, MATCH($A45, Indicators!$A$2:$A$46, 0))-INDEX(Indicators!$O$2:$O$46, MATCH($A45, Indicators!$A$2:$A$46, 0)))*100)))),IF(INDEX(Indicators!$J$2:$J$46, MATCH($A45, Indicators!$A$2:$A$46, 0))="HigherBetter",MAX(0,MIN(100,($E45-INDEX(Indicators!$L$2:$L$46, MATCH($A45, Indicators!$A$2:$A$46, 0)))/(INDEX(Indicators!$K$2:$K$46, MATCH($A45, Indicators!$A$2:$A$46, 0))-INDEX(Indicators!$L$2:$L$46, MATCH($A45, Indicators!$A$2:$A$46, 0)))*100)),IF(INDEX(Indicators!$J$2:$J$46, MATCH($A45, Indicators!$A$2:$A$46, 0))="LowerBetter",MAX(0,MIN(100,(INDEX(Indicators!$L$2:$L$46, MATCH($A45, Indicators!$A$2:$A$46, 0))-$E45)/(INDEX(Indicators!$L$2:$L$46, MATCH($A45, Indicators!$A$2:$A$46, 0))-INDEX(Indicators!$K$2:$K$46, MATCH($A45, Indicators!$A$2:$A$46, 0)))*100)),""))))</f>
        <v/>
      </c>
      <c r="G45" s="26">
        <f>IFERROR(INDEX(Indicators!$S$2:$S$46, MATCH($A45, Indicators!$A$2:$A$46, 0)),"")</f>
        <v/>
      </c>
      <c r="H45" s="26">
        <f>IF($F45="","",$F45*$G45)</f>
        <v/>
      </c>
      <c r="I45" s="26">
        <f>IFERROR(INDEX(Indicators!$G$2:$G$46, MATCH($A45, Indicators!$A$2:$A$46, 0)),"")</f>
        <v/>
      </c>
    </row>
    <row r="46" ht="32.25" customHeight="1" s="62">
      <c r="A46" s="26" t="inlineStr">
        <is>
          <t>AI_CAPEX_GUIDE</t>
        </is>
      </c>
      <c r="B46" s="26">
        <f>INDEX(Indicators!$C$2:$C$46, MATCH($A46, Indicators!$A$2:$A$46, 0))</f>
        <v/>
      </c>
      <c r="C46" s="26">
        <f>INDEX(Indicators!$B$2:$B$46, MATCH($A46, Indicators!$A$2:$A$46, 0))</f>
        <v/>
      </c>
      <c r="D46" s="26">
        <f>IFERROR(INDEX(Inputs!$B$7:$B$51, MATCH($A46, Inputs!$A$7:$A$51, 0)),"")</f>
        <v/>
      </c>
      <c r="E46" s="26">
        <f>IF($D46="","",IF(AND(INDEX(Indicators!$Q$2:$Q$46, MATCH($A46, Indicators!$A$2:$A$46, 0))="",INDEX(Indicators!$R$2:$R$46, MATCH($A46, Indicators!$A$2:$A$46, 0))=""),$D46,IF(INDEX(Indicators!$Q$2:$Q$46, MATCH($A46, Indicators!$A$2:$A$46, 0))="",MIN($D46,INDEX(Indicators!$R$2:$R$46, MATCH($A46, Indicators!$A$2:$A$46, 0))),IF(INDEX(Indicators!$R$2:$R$46, MATCH($A46, Indicators!$A$2:$A$46, 0))="",MAX($D46,INDEX(Indicators!$Q$2:$Q$46, MATCH($A46, Indicators!$A$2:$A$46, 0))),MIN(MAX($D46,INDEX(Indicators!$Q$2:$Q$46, MATCH($A46, Indicators!$A$2:$A$46, 0))),INDEX(Indicators!$R$2:$R$46, MATCH($A46, Indicators!$A$2:$A$46, 0)))))))</f>
        <v/>
      </c>
      <c r="F46" s="26">
        <f>IF($E46="","",IF(INDEX(Indicators!$I$2:$I$46, MATCH($A46, Indicators!$A$2:$A$46, 0))="TargetBand",IF(AND($E46&gt;=INDEX(Indicators!$N$2:$N$46, MATCH($A46, Indicators!$A$2:$A$46, 0)),$E46&lt;=INDEX(Indicators!$O$2:$O$46, MATCH($A46, Indicators!$A$2:$A$46, 0))),100,IF($E46&lt;INDEX(Indicators!$N$2:$N$46, MATCH($A46, Indicators!$A$2:$A$46, 0)),MAX(0,MIN(100,($E46-INDEX(Indicators!$M$2:$M$46, MATCH($A46, Indicators!$A$2:$A$46, 0)))/(INDEX(Indicators!$N$2:$N$46, MATCH($A46, Indicators!$A$2:$A$46, 0))-INDEX(Indicators!$M$2:$M$46, MATCH($A46, Indicators!$A$2:$A$46, 0)))*100)),MAX(0,MIN(100,(INDEX(Indicators!$P$2:$P$46, MATCH($A46, Indicators!$A$2:$A$46, 0))-$E46)/(INDEX(Indicators!$P$2:$P$46, MATCH($A46, Indicators!$A$2:$A$46, 0))-INDEX(Indicators!$O$2:$O$46, MATCH($A46, Indicators!$A$2:$A$46, 0)))*100)))),IF(INDEX(Indicators!$J$2:$J$46, MATCH($A46, Indicators!$A$2:$A$46, 0))="HigherBetter",MAX(0,MIN(100,($E46-INDEX(Indicators!$L$2:$L$46, MATCH($A46, Indicators!$A$2:$A$46, 0)))/(INDEX(Indicators!$K$2:$K$46, MATCH($A46, Indicators!$A$2:$A$46, 0))-INDEX(Indicators!$L$2:$L$46, MATCH($A46, Indicators!$A$2:$A$46, 0)))*100)),IF(INDEX(Indicators!$J$2:$J$46, MATCH($A46, Indicators!$A$2:$A$46, 0))="LowerBetter",MAX(0,MIN(100,(INDEX(Indicators!$L$2:$L$46, MATCH($A46, Indicators!$A$2:$A$46, 0))-$E46)/(INDEX(Indicators!$L$2:$L$46, MATCH($A46, Indicators!$A$2:$A$46, 0))-INDEX(Indicators!$K$2:$K$46, MATCH($A46, Indicators!$A$2:$A$46, 0)))*100)),""))))</f>
        <v/>
      </c>
      <c r="G46" s="26">
        <f>IFERROR(INDEX(Indicators!$S$2:$S$46, MATCH($A46, Indicators!$A$2:$A$46, 0)),"")</f>
        <v/>
      </c>
      <c r="H46" s="26">
        <f>IF($F46="","",$F46*$G46)</f>
        <v/>
      </c>
      <c r="I46" s="26">
        <f>IFERROR(INDEX(Indicators!$G$2:$G$46, MATCH($A46, Indicators!$A$2:$A$46, 0)),"")</f>
        <v/>
      </c>
    </row>
    <row r="47" ht="32.25" customHeight="1" s="62">
      <c r="A47" s="26" t="inlineStr">
        <is>
          <t>SEMI_BOOK_BILL</t>
        </is>
      </c>
      <c r="B47" s="26">
        <f>INDEX(Indicators!$C$2:$C$46, MATCH($A47, Indicators!$A$2:$A$46, 0))</f>
        <v/>
      </c>
      <c r="C47" s="26">
        <f>INDEX(Indicators!$B$2:$B$46, MATCH($A47, Indicators!$A$2:$A$46, 0))</f>
        <v/>
      </c>
      <c r="D47" s="26">
        <f>IFERROR(INDEX(Inputs!$B$7:$B$51, MATCH($A47, Inputs!$A$7:$A$51, 0)),"")</f>
        <v/>
      </c>
      <c r="E47" s="26">
        <f>IF($D47="","",IF(AND(INDEX(Indicators!$Q$2:$Q$46, MATCH($A47, Indicators!$A$2:$A$46, 0))="",INDEX(Indicators!$R$2:$R$46, MATCH($A47, Indicators!$A$2:$A$46, 0))=""),$D47,IF(INDEX(Indicators!$Q$2:$Q$46, MATCH($A47, Indicators!$A$2:$A$46, 0))="",MIN($D47,INDEX(Indicators!$R$2:$R$46, MATCH($A47, Indicators!$A$2:$A$46, 0))),IF(INDEX(Indicators!$R$2:$R$46, MATCH($A47, Indicators!$A$2:$A$46, 0))="",MAX($D47,INDEX(Indicators!$Q$2:$Q$46, MATCH($A47, Indicators!$A$2:$A$46, 0))),MIN(MAX($D47,INDEX(Indicators!$Q$2:$Q$46, MATCH($A47, Indicators!$A$2:$A$46, 0))),INDEX(Indicators!$R$2:$R$46, MATCH($A47, Indicators!$A$2:$A$46, 0)))))))</f>
        <v/>
      </c>
      <c r="F47" s="26">
        <f>IF($E47="","",IF(INDEX(Indicators!$I$2:$I$46, MATCH($A47, Indicators!$A$2:$A$46, 0))="TargetBand",IF(AND($E47&gt;=INDEX(Indicators!$N$2:$N$46, MATCH($A47, Indicators!$A$2:$A$46, 0)),$E47&lt;=INDEX(Indicators!$O$2:$O$46, MATCH($A47, Indicators!$A$2:$A$46, 0))),100,IF($E47&lt;INDEX(Indicators!$N$2:$N$46, MATCH($A47, Indicators!$A$2:$A$46, 0)),MAX(0,MIN(100,($E47-INDEX(Indicators!$M$2:$M$46, MATCH($A47, Indicators!$A$2:$A$46, 0)))/(INDEX(Indicators!$N$2:$N$46, MATCH($A47, Indicators!$A$2:$A$46, 0))-INDEX(Indicators!$M$2:$M$46, MATCH($A47, Indicators!$A$2:$A$46, 0)))*100)),MAX(0,MIN(100,(INDEX(Indicators!$P$2:$P$46, MATCH($A47, Indicators!$A$2:$A$46, 0))-$E47)/(INDEX(Indicators!$P$2:$P$46, MATCH($A47, Indicators!$A$2:$A$46, 0))-INDEX(Indicators!$O$2:$O$46, MATCH($A47, Indicators!$A$2:$A$46, 0)))*100)))),IF(INDEX(Indicators!$J$2:$J$46, MATCH($A47, Indicators!$A$2:$A$46, 0))="HigherBetter",MAX(0,MIN(100,($E47-INDEX(Indicators!$L$2:$L$46, MATCH($A47, Indicators!$A$2:$A$46, 0)))/(INDEX(Indicators!$K$2:$K$46, MATCH($A47, Indicators!$A$2:$A$46, 0))-INDEX(Indicators!$L$2:$L$46, MATCH($A47, Indicators!$A$2:$A$46, 0)))*100)),IF(INDEX(Indicators!$J$2:$J$46, MATCH($A47, Indicators!$A$2:$A$46, 0))="LowerBetter",MAX(0,MIN(100,(INDEX(Indicators!$L$2:$L$46, MATCH($A47, Indicators!$A$2:$A$46, 0))-$E47)/(INDEX(Indicators!$L$2:$L$46, MATCH($A47, Indicators!$A$2:$A$46, 0))-INDEX(Indicators!$K$2:$K$46, MATCH($A47, Indicators!$A$2:$A$46, 0)))*100)),""))))</f>
        <v/>
      </c>
      <c r="G47" s="26">
        <f>IFERROR(INDEX(Indicators!$S$2:$S$46, MATCH($A47, Indicators!$A$2:$A$46, 0)),"")</f>
        <v/>
      </c>
      <c r="H47" s="26">
        <f>IF($F47="","",$F47*$G47)</f>
        <v/>
      </c>
      <c r="I47" s="26">
        <f>IFERROR(INDEX(Indicators!$G$2:$G$46, MATCH($A47, Indicators!$A$2:$A$46, 0)),"")</f>
        <v/>
      </c>
    </row>
    <row r="48" ht="79.5" customHeight="1" s="62">
      <c r="A48" s="26" t="inlineStr">
        <is>
          <t>BTC</t>
        </is>
      </c>
      <c r="B48" s="26">
        <f>INDEX(Indicators!$C$2:$C$46, MATCH($A48, Indicators!$A$2:$A$46, 0))</f>
        <v/>
      </c>
      <c r="C48" s="26">
        <f>INDEX(Indicators!$B$2:$B$46, MATCH($A48, Indicators!$A$2:$A$46, 0))</f>
        <v/>
      </c>
      <c r="D48" s="26">
        <f>IFERROR(INDEX(Inputs!$B$7:$B$51, MATCH($A48, Inputs!$A$7:$A$51, 0)),"")</f>
        <v/>
      </c>
      <c r="E48" s="26">
        <f>IF($D48="","",IF(AND(INDEX(Indicators!$Q$2:$Q$46, MATCH($A48, Indicators!$A$2:$A$46, 0))="",INDEX(Indicators!$R$2:$R$46, MATCH($A48, Indicators!$A$2:$A$46, 0))=""),$D48,IF(INDEX(Indicators!$Q$2:$Q$46, MATCH($A48, Indicators!$A$2:$A$46, 0))="",MIN($D48,INDEX(Indicators!$R$2:$R$46, MATCH($A48, Indicators!$A$2:$A$46, 0))),IF(INDEX(Indicators!$R$2:$R$46, MATCH($A48, Indicators!$A$2:$A$46, 0))="",MAX($D48,INDEX(Indicators!$Q$2:$Q$46, MATCH($A48, Indicators!$A$2:$A$46, 0))),MIN(MAX($D48,INDEX(Indicators!$Q$2:$Q$46, MATCH($A48, Indicators!$A$2:$A$46, 0))),INDEX(Indicators!$R$2:$R$46, MATCH($A48, Indicators!$A$2:$A$46, 0)))))))</f>
        <v/>
      </c>
      <c r="F48" s="26">
        <f>IF($E48="","",IF(INDEX(Indicators!$I$2:$I$46, MATCH($A48, Indicators!$A$2:$A$46, 0))="TargetBand",IF(AND($E48&gt;=INDEX(Indicators!$N$2:$N$46, MATCH($A48, Indicators!$A$2:$A$46, 0)),$E48&lt;=INDEX(Indicators!$O$2:$O$46, MATCH($A48, Indicators!$A$2:$A$46, 0))),100,IF($E48&lt;INDEX(Indicators!$N$2:$N$46, MATCH($A48, Indicators!$A$2:$A$46, 0)),MAX(0,MIN(100,($E48-INDEX(Indicators!$M$2:$M$46, MATCH($A48, Indicators!$A$2:$A$46, 0)))/(INDEX(Indicators!$N$2:$N$46, MATCH($A48, Indicators!$A$2:$A$46, 0))-INDEX(Indicators!$M$2:$M$46, MATCH($A48, Indicators!$A$2:$A$46, 0)))*100)),MAX(0,MIN(100,(INDEX(Indicators!$P$2:$P$46, MATCH($A48, Indicators!$A$2:$A$46, 0))-$E48)/(INDEX(Indicators!$P$2:$P$46, MATCH($A48, Indicators!$A$2:$A$46, 0))-INDEX(Indicators!$O$2:$O$46, MATCH($A48, Indicators!$A$2:$A$46, 0)))*100)))),IF(INDEX(Indicators!$J$2:$J$46, MATCH($A48, Indicators!$A$2:$A$46, 0))="HigherBetter",MAX(0,MIN(100,($E48-INDEX(Indicators!$L$2:$L$46, MATCH($A48, Indicators!$A$2:$A$46, 0)))/(INDEX(Indicators!$K$2:$K$46, MATCH($A48, Indicators!$A$2:$A$46, 0))-INDEX(Indicators!$L$2:$L$46, MATCH($A48, Indicators!$A$2:$A$46, 0)))*100)),IF(INDEX(Indicators!$J$2:$J$46, MATCH($A48, Indicators!$A$2:$A$46, 0))="LowerBetter",MAX(0,MIN(100,(INDEX(Indicators!$L$2:$L$46, MATCH($A48, Indicators!$A$2:$A$46, 0))-$E48)/(INDEX(Indicators!$L$2:$L$46, MATCH($A48, Indicators!$A$2:$A$46, 0))-INDEX(Indicators!$K$2:$K$46, MATCH($A48, Indicators!$A$2:$A$46, 0)))*100)),""))))</f>
        <v/>
      </c>
      <c r="G48" s="26">
        <f>IFERROR(INDEX(Indicators!$S$2:$S$46, MATCH($A48, Indicators!$A$2:$A$46, 0)),"")</f>
        <v/>
      </c>
      <c r="H48" s="26">
        <f>IF($F48="","",$F48*$G48)</f>
        <v/>
      </c>
      <c r="I48" s="26">
        <f>IFERROR(INDEX(Indicators!$G$2:$G$46, MATCH($A48, Indicators!$A$2:$A$46, 0)),"")</f>
        <v/>
      </c>
    </row>
    <row r="49" ht="79.5" customHeight="1" s="62">
      <c r="A49" s="26" t="inlineStr">
        <is>
          <t>USDC_MCAP</t>
        </is>
      </c>
      <c r="B49" s="26">
        <f>INDEX(Indicators!$C$2:$C$46, MATCH($A49, Indicators!$A$2:$A$46, 0))</f>
        <v/>
      </c>
      <c r="C49" s="26">
        <f>INDEX(Indicators!$B$2:$B$46, MATCH($A49, Indicators!$A$2:$A$46, 0))</f>
        <v/>
      </c>
      <c r="D49" s="26">
        <f>IFERROR(INDEX(Inputs!$B$7:$B$51, MATCH($A49, Inputs!$A$7:$A$51, 0)),"")</f>
        <v/>
      </c>
      <c r="E49" s="26">
        <f>IF($D49="","",IF(AND(INDEX(Indicators!$Q$2:$Q$46, MATCH($A49, Indicators!$A$2:$A$46, 0))="",INDEX(Indicators!$R$2:$R$46, MATCH($A49, Indicators!$A$2:$A$46, 0))=""),$D49,IF(INDEX(Indicators!$Q$2:$Q$46, MATCH($A49, Indicators!$A$2:$A$46, 0))="",MIN($D49,INDEX(Indicators!$R$2:$R$46, MATCH($A49, Indicators!$A$2:$A$46, 0))),IF(INDEX(Indicators!$R$2:$R$46, MATCH($A49, Indicators!$A$2:$A$46, 0))="",MAX($D49,INDEX(Indicators!$Q$2:$Q$46, MATCH($A49, Indicators!$A$2:$A$46, 0))),MIN(MAX($D49,INDEX(Indicators!$Q$2:$Q$46, MATCH($A49, Indicators!$A$2:$A$46, 0))),INDEX(Indicators!$R$2:$R$46, MATCH($A49, Indicators!$A$2:$A$46, 0)))))))</f>
        <v/>
      </c>
      <c r="F49" s="26">
        <f>IF($E49="","",IF(INDEX(Indicators!$I$2:$I$46, MATCH($A49, Indicators!$A$2:$A$46, 0))="TargetBand",IF(AND($E49&gt;=INDEX(Indicators!$N$2:$N$46, MATCH($A49, Indicators!$A$2:$A$46, 0)),$E49&lt;=INDEX(Indicators!$O$2:$O$46, MATCH($A49, Indicators!$A$2:$A$46, 0))),100,IF($E49&lt;INDEX(Indicators!$N$2:$N$46, MATCH($A49, Indicators!$A$2:$A$46, 0)),MAX(0,MIN(100,($E49-INDEX(Indicators!$M$2:$M$46, MATCH($A49, Indicators!$A$2:$A$46, 0)))/(INDEX(Indicators!$N$2:$N$46, MATCH($A49, Indicators!$A$2:$A$46, 0))-INDEX(Indicators!$M$2:$M$46, MATCH($A49, Indicators!$A$2:$A$46, 0)))*100)),MAX(0,MIN(100,(INDEX(Indicators!$P$2:$P$46, MATCH($A49, Indicators!$A$2:$A$46, 0))-$E49)/(INDEX(Indicators!$P$2:$P$46, MATCH($A49, Indicators!$A$2:$A$46, 0))-INDEX(Indicators!$O$2:$O$46, MATCH($A49, Indicators!$A$2:$A$46, 0)))*100)))),IF(INDEX(Indicators!$J$2:$J$46, MATCH($A49, Indicators!$A$2:$A$46, 0))="HigherBetter",MAX(0,MIN(100,($E49-INDEX(Indicators!$L$2:$L$46, MATCH($A49, Indicators!$A$2:$A$46, 0)))/(INDEX(Indicators!$K$2:$K$46, MATCH($A49, Indicators!$A$2:$A$46, 0))-INDEX(Indicators!$L$2:$L$46, MATCH($A49, Indicators!$A$2:$A$46, 0)))*100)),IF(INDEX(Indicators!$J$2:$J$46, MATCH($A49, Indicators!$A$2:$A$46, 0))="LowerBetter",MAX(0,MIN(100,(INDEX(Indicators!$L$2:$L$46, MATCH($A49, Indicators!$A$2:$A$46, 0))-$E49)/(INDEX(Indicators!$L$2:$L$46, MATCH($A49, Indicators!$A$2:$A$46, 0))-INDEX(Indicators!$K$2:$K$46, MATCH($A49, Indicators!$A$2:$A$46, 0)))*100)),""))))</f>
        <v/>
      </c>
      <c r="G49" s="26">
        <f>IFERROR(INDEX(Indicators!$S$2:$S$46, MATCH($A49, Indicators!$A$2:$A$46, 0)),"")</f>
        <v/>
      </c>
      <c r="H49" s="26">
        <f>IF($F49="","",$F49*$G49)</f>
        <v/>
      </c>
      <c r="I49" s="26">
        <f>IFERROR(INDEX(Indicators!$G$2:$G$46, MATCH($A49, Indicators!$A$2:$A$46, 0)),"")</f>
        <v/>
      </c>
    </row>
    <row r="50" ht="68.25" customHeight="1" s="62">
      <c r="A50" s="26" t="inlineStr">
        <is>
          <t>STABLECOIN_DOM</t>
        </is>
      </c>
      <c r="B50" s="26">
        <f>INDEX(Indicators!$C$2:$C$46, MATCH($A50, Indicators!$A$2:$A$46, 0))</f>
        <v/>
      </c>
      <c r="C50" s="26">
        <f>INDEX(Indicators!$B$2:$B$46, MATCH($A50, Indicators!$A$2:$A$46, 0))</f>
        <v/>
      </c>
      <c r="D50" s="26">
        <f>IFERROR(INDEX(Inputs!$B$7:$B$51, MATCH($A50, Inputs!$A$7:$A$51, 0)),"")</f>
        <v/>
      </c>
      <c r="E50" s="26">
        <f>IF($D50="","",IF(AND(INDEX(Indicators!$Q$2:$Q$46, MATCH($A50, Indicators!$A$2:$A$46, 0))="",INDEX(Indicators!$R$2:$R$46, MATCH($A50, Indicators!$A$2:$A$46, 0))=""),$D50,IF(INDEX(Indicators!$Q$2:$Q$46, MATCH($A50, Indicators!$A$2:$A$46, 0))="",MIN($D50,INDEX(Indicators!$R$2:$R$46, MATCH($A50, Indicators!$A$2:$A$46, 0))),IF(INDEX(Indicators!$R$2:$R$46, MATCH($A50, Indicators!$A$2:$A$46, 0))="",MAX($D50,INDEX(Indicators!$Q$2:$Q$46, MATCH($A50, Indicators!$A$2:$A$46, 0))),MIN(MAX($D50,INDEX(Indicators!$Q$2:$Q$46, MATCH($A50, Indicators!$A$2:$A$46, 0))),INDEX(Indicators!$R$2:$R$46, MATCH($A50, Indicators!$A$2:$A$46, 0)))))))</f>
        <v/>
      </c>
      <c r="F50" s="26">
        <f>IF($E50="","",IF(INDEX(Indicators!$I$2:$I$46, MATCH($A50, Indicators!$A$2:$A$46, 0))="TargetBand",IF(AND($E50&gt;=INDEX(Indicators!$N$2:$N$46, MATCH($A50, Indicators!$A$2:$A$46, 0)),$E50&lt;=INDEX(Indicators!$O$2:$O$46, MATCH($A50, Indicators!$A$2:$A$46, 0))),100,IF($E50&lt;INDEX(Indicators!$N$2:$N$46, MATCH($A50, Indicators!$A$2:$A$46, 0)),MAX(0,MIN(100,($E50-INDEX(Indicators!$M$2:$M$46, MATCH($A50, Indicators!$A$2:$A$46, 0)))/(INDEX(Indicators!$N$2:$N$46, MATCH($A50, Indicators!$A$2:$A$46, 0))-INDEX(Indicators!$M$2:$M$46, MATCH($A50, Indicators!$A$2:$A$46, 0)))*100)),MAX(0,MIN(100,(INDEX(Indicators!$P$2:$P$46, MATCH($A50, Indicators!$A$2:$A$46, 0))-$E50)/(INDEX(Indicators!$P$2:$P$46, MATCH($A50, Indicators!$A$2:$A$46, 0))-INDEX(Indicators!$O$2:$O$46, MATCH($A50, Indicators!$A$2:$A$46, 0)))*100)))),IF(INDEX(Indicators!$J$2:$J$46, MATCH($A50, Indicators!$A$2:$A$46, 0))="HigherBetter",MAX(0,MIN(100,($E50-INDEX(Indicators!$L$2:$L$46, MATCH($A50, Indicators!$A$2:$A$46, 0)))/(INDEX(Indicators!$K$2:$K$46, MATCH($A50, Indicators!$A$2:$A$46, 0))-INDEX(Indicators!$L$2:$L$46, MATCH($A50, Indicators!$A$2:$A$46, 0)))*100)),IF(INDEX(Indicators!$J$2:$J$46, MATCH($A50, Indicators!$A$2:$A$46, 0))="LowerBetter",MAX(0,MIN(100,(INDEX(Indicators!$L$2:$L$46, MATCH($A50, Indicators!$A$2:$A$46, 0))-$E50)/(INDEX(Indicators!$L$2:$L$46, MATCH($A50, Indicators!$A$2:$A$46, 0))-INDEX(Indicators!$K$2:$K$46, MATCH($A50, Indicators!$A$2:$A$46, 0)))*100)),""))))</f>
        <v/>
      </c>
      <c r="G50" s="26">
        <f>IFERROR(INDEX(Indicators!$S$2:$S$46, MATCH($A50, Indicators!$A$2:$A$46, 0)),"")</f>
        <v/>
      </c>
      <c r="H50" s="26">
        <f>IF($F50="","",$F50*$G50)</f>
        <v/>
      </c>
      <c r="I50" s="26">
        <f>IFERROR(INDEX(Indicators!$G$2:$G$46, MATCH($A50, Indicators!$A$2:$A$46, 0)),"")</f>
        <v/>
      </c>
    </row>
    <row r="51" ht="15" customHeight="1" s="62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</row>
    <row r="52" ht="15" customHeight="1" s="62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</row>
    <row r="53" ht="15" customHeight="1" s="62">
      <c r="A53" s="38" t="inlineStr">
        <is>
          <t>维度分数汇总</t>
        </is>
      </c>
      <c r="B53" s="31" t="n"/>
      <c r="C53" s="31" t="n"/>
      <c r="D53" s="31" t="n"/>
      <c r="E53" s="31" t="n"/>
      <c r="F53" s="31" t="n"/>
      <c r="G53" s="31" t="n"/>
      <c r="H53" s="31" t="n"/>
      <c r="I53" s="31" t="n"/>
    </row>
    <row r="54" ht="27.75" customHeight="1" s="62">
      <c r="A54" s="28" t="inlineStr">
        <is>
          <t>DimensionID</t>
        </is>
      </c>
      <c r="B54" s="28" t="inlineStr">
        <is>
          <t>DimensionName</t>
        </is>
      </c>
      <c r="C54" s="28" t="inlineStr">
        <is>
          <t>DimWeight(%)</t>
        </is>
      </c>
      <c r="D54" s="28" t="inlineStr">
        <is>
          <t>DimScore(0-100)</t>
        </is>
      </c>
      <c r="E54" s="28" t="inlineStr">
        <is>
          <t>WeightedContribution</t>
        </is>
      </c>
      <c r="F54" s="31" t="n"/>
      <c r="G54" s="31" t="n"/>
      <c r="H54" s="31" t="n"/>
      <c r="I54" s="31" t="n"/>
    </row>
    <row r="55" ht="16.5" customHeight="1" s="62">
      <c r="A55" s="26" t="inlineStr">
        <is>
          <t>D01</t>
        </is>
      </c>
      <c r="B55" s="27" t="inlineStr">
        <is>
          <t>货币政策与流动性</t>
        </is>
      </c>
      <c r="C55" s="39" t="n">
        <v>12</v>
      </c>
      <c r="D55" s="39">
        <f>IF(SUMIFS($G$6:$G$50,$C$6:$C$50,$A55,$F$6:$F$50,"&lt;&gt;")=0,"",SUMIFS($H$6:$H$50,$C$6:$C$50,$A55)/SUMIFS($G$6:$G$50,$C$6:$C$50,$A55,$F$6:$F$50,"&lt;&gt;"))</f>
        <v/>
      </c>
      <c r="E55" s="39">
        <f>IF($D55="","",$D55*$C55/100)</f>
        <v/>
      </c>
      <c r="F55" s="31" t="n"/>
      <c r="G55" s="31" t="n"/>
      <c r="H55" s="31" t="n"/>
      <c r="I55" s="31" t="n"/>
    </row>
    <row r="56" ht="16.5" customHeight="1" s="62">
      <c r="A56" s="26" t="inlineStr">
        <is>
          <t>D02</t>
        </is>
      </c>
      <c r="B56" s="27" t="inlineStr">
        <is>
          <t>增长与前瞻</t>
        </is>
      </c>
      <c r="C56" s="39" t="n">
        <v>11</v>
      </c>
      <c r="D56" s="39">
        <f>IF(SUMIFS($G$6:$G$50,$C$6:$C$50,$A56,$F$6:$F$50,"&lt;&gt;")=0,"",SUMIFS($H$6:$H$50,$C$6:$C$50,$A56)/SUMIFS($G$6:$G$50,$C$6:$C$50,$A56,$F$6:$F$50,"&lt;&gt;"))</f>
        <v/>
      </c>
      <c r="E56" s="39">
        <f>IF($D56="","",$D56*$C56/100)</f>
        <v/>
      </c>
      <c r="F56" s="31" t="n"/>
      <c r="G56" s="31" t="n"/>
      <c r="H56" s="31" t="n"/>
      <c r="I56" s="31" t="n"/>
    </row>
    <row r="57" ht="16.5" customHeight="1" s="62">
      <c r="A57" s="26" t="inlineStr">
        <is>
          <t>D03</t>
        </is>
      </c>
      <c r="B57" s="27" t="inlineStr">
        <is>
          <t>通胀与价格压力</t>
        </is>
      </c>
      <c r="C57" s="39" t="n">
        <v>10</v>
      </c>
      <c r="D57" s="39">
        <f>IF(SUMIFS($G$6:$G$50,$C$6:$C$50,$A57,$F$6:$F$50,"&lt;&gt;")=0,"",SUMIFS($H$6:$H$50,$C$6:$C$50,$A57)/SUMIFS($G$6:$G$50,$C$6:$C$50,$A57,$F$6:$F$50,"&lt;&gt;"))</f>
        <v/>
      </c>
      <c r="E57" s="39">
        <f>IF($D57="","",$D57*$C57/100)</f>
        <v/>
      </c>
      <c r="F57" s="31" t="n"/>
      <c r="G57" s="31" t="n"/>
      <c r="H57" s="31" t="n"/>
      <c r="I57" s="31" t="n"/>
    </row>
    <row r="58" ht="16.5" customHeight="1" s="62">
      <c r="A58" s="26" t="inlineStr">
        <is>
          <t>D04</t>
        </is>
      </c>
      <c r="B58" s="27" t="inlineStr">
        <is>
          <t>就业与居民部门</t>
        </is>
      </c>
      <c r="C58" s="39" t="n">
        <v>10</v>
      </c>
      <c r="D58" s="39">
        <f>IF(SUMIFS($G$6:$G$50,$C$6:$C$50,$A58,$F$6:$F$50,"&lt;&gt;")=0,"",SUMIFS($H$6:$H$50,$C$6:$C$50,$A58)/SUMIFS($G$6:$G$50,$C$6:$C$50,$A58,$F$6:$F$50,"&lt;&gt;"))</f>
        <v/>
      </c>
      <c r="E58" s="39">
        <f>IF($D58="","",$D58*$C58/100)</f>
        <v/>
      </c>
      <c r="F58" s="31" t="n"/>
      <c r="G58" s="31" t="n"/>
      <c r="H58" s="31" t="n"/>
      <c r="I58" s="31" t="n"/>
    </row>
    <row r="59" ht="16.5" customHeight="1" s="62">
      <c r="A59" s="26" t="inlineStr">
        <is>
          <t>D05</t>
        </is>
      </c>
      <c r="B59" s="27" t="inlineStr">
        <is>
          <t>企业盈利与信用</t>
        </is>
      </c>
      <c r="C59" s="39" t="n">
        <v>8</v>
      </c>
      <c r="D59" s="39">
        <f>IF(SUMIFS($G$6:$G$50,$C$6:$C$50,$A59,$F$6:$F$50,"&lt;&gt;")=0,"",SUMIFS($H$6:$H$50,$C$6:$C$50,$A59)/SUMIFS($G$6:$G$50,$C$6:$C$50,$A59,$F$6:$F$50,"&lt;&gt;"))</f>
        <v/>
      </c>
      <c r="E59" s="39">
        <f>IF($D59="","",$D59*$C59/100)</f>
        <v/>
      </c>
      <c r="F59" s="31" t="n"/>
      <c r="G59" s="31" t="n"/>
      <c r="H59" s="31" t="n"/>
      <c r="I59" s="31" t="n"/>
    </row>
    <row r="60" ht="16.5" customHeight="1" s="62">
      <c r="A60" s="26" t="inlineStr">
        <is>
          <t>D06</t>
        </is>
      </c>
      <c r="B60" s="27" t="inlineStr">
        <is>
          <t>房地产与利率敏感部门</t>
        </is>
      </c>
      <c r="C60" s="39" t="n">
        <v>6</v>
      </c>
      <c r="D60" s="39">
        <f>IF(SUMIFS($G$6:$G$50,$C$6:$C$50,$A60,$F$6:$F$50,"&lt;&gt;")=0,"",SUMIFS($H$6:$H$50,$C$6:$C$50,$A60)/SUMIFS($G$6:$G$50,$C$6:$C$50,$A60,$F$6:$F$50,"&lt;&gt;"))</f>
        <v/>
      </c>
      <c r="E60" s="39">
        <f>IF($D60="","",$D60*$C60/100)</f>
        <v/>
      </c>
      <c r="F60" s="31" t="n"/>
      <c r="G60" s="31" t="n"/>
      <c r="H60" s="31" t="n"/>
      <c r="I60" s="31" t="n"/>
    </row>
    <row r="61" ht="16.5" customHeight="1" s="62">
      <c r="A61" s="26" t="inlineStr">
        <is>
          <t>D07</t>
        </is>
      </c>
      <c r="B61" s="27" t="inlineStr">
        <is>
          <t>风险偏好与跨资产波动</t>
        </is>
      </c>
      <c r="C61" s="39" t="n">
        <v>6</v>
      </c>
      <c r="D61" s="39">
        <f>IF(SUMIFS($G$6:$G$50,$C$6:$C$50,$A61,$F$6:$F$50,"&lt;&gt;")=0,"",SUMIFS($H$6:$H$50,$C$6:$C$50,$A61)/SUMIFS($G$6:$G$50,$C$6:$C$50,$A61,$F$6:$F$50,"&lt;&gt;"))</f>
        <v/>
      </c>
      <c r="E61" s="39">
        <f>IF($D61="","",$D61*$C61/100)</f>
        <v/>
      </c>
      <c r="F61" s="31" t="n"/>
      <c r="G61" s="31" t="n"/>
      <c r="H61" s="31" t="n"/>
      <c r="I61" s="31" t="n"/>
    </row>
    <row r="62" ht="16.5" customHeight="1" s="62">
      <c r="A62" s="26" t="inlineStr">
        <is>
          <t>D08</t>
        </is>
      </c>
      <c r="B62" s="27" t="inlineStr">
        <is>
          <t>外部部门与美元条件</t>
        </is>
      </c>
      <c r="C62" s="39" t="n">
        <v>7</v>
      </c>
      <c r="D62" s="39">
        <f>IF(SUMIFS($G$6:$G$50,$C$6:$C$50,$A62,$F$6:$F$50,"&lt;&gt;")=0,"",SUMIFS($H$6:$H$50,$C$6:$C$50,$A62)/SUMIFS($G$6:$G$50,$C$6:$C$50,$A62,$F$6:$F$50,"&lt;&gt;"))</f>
        <v/>
      </c>
      <c r="E62" s="39">
        <f>IF($D62="","",$D62*$C62/100)</f>
        <v/>
      </c>
      <c r="F62" s="31" t="n"/>
      <c r="G62" s="31" t="n"/>
      <c r="H62" s="31" t="n"/>
      <c r="I62" s="31" t="n"/>
    </row>
    <row r="63" ht="16.5" customHeight="1" s="62">
      <c r="A63" s="26" t="inlineStr">
        <is>
          <t>D09</t>
        </is>
      </c>
      <c r="B63" s="27" t="inlineStr">
        <is>
          <t>财政政策与债务约束</t>
        </is>
      </c>
      <c r="C63" s="39" t="n">
        <v>8</v>
      </c>
      <c r="D63" s="39">
        <f>IF(SUMIFS($G$6:$G$50,$C$6:$C$50,$A63,$F$6:$F$50,"&lt;&gt;")=0,"",SUMIFS($H$6:$H$50,$C$6:$C$50,$A63)/SUMIFS($G$6:$G$50,$C$6:$C$50,$A63,$F$6:$F$50,"&lt;&gt;"))</f>
        <v/>
      </c>
      <c r="E63" s="39">
        <f>IF($D63="","",$D63*$C63/100)</f>
        <v/>
      </c>
      <c r="F63" s="31" t="n"/>
      <c r="G63" s="31" t="n"/>
      <c r="H63" s="31" t="n"/>
      <c r="I63" s="31" t="n"/>
    </row>
    <row r="64" ht="16.5" customHeight="1" s="62">
      <c r="A64" s="26" t="inlineStr">
        <is>
          <t>D10</t>
        </is>
      </c>
      <c r="B64" s="27" t="inlineStr">
        <is>
          <t>金融条件与信用传导</t>
        </is>
      </c>
      <c r="C64" s="39" t="n">
        <v>6</v>
      </c>
      <c r="D64" s="39">
        <f>IF(SUMIFS($G$6:$G$50,$C$6:$C$50,$A64,$F$6:$F$50,"&lt;&gt;")=0,"",SUMIFS($H$6:$H$50,$C$6:$C$50,$A64)/SUMIFS($G$6:$G$50,$C$6:$C$50,$A64,$F$6:$F$50,"&lt;&gt;"))</f>
        <v/>
      </c>
      <c r="E64" s="39">
        <f>IF($D64="","",$D64*$C64/100)</f>
        <v/>
      </c>
      <c r="F64" s="31" t="n"/>
      <c r="G64" s="31" t="n"/>
      <c r="H64" s="31" t="n"/>
      <c r="I64" s="31" t="n"/>
    </row>
    <row r="65" ht="32.25" customHeight="1" s="62">
      <c r="A65" s="26" t="inlineStr">
        <is>
          <t>D11</t>
        </is>
      </c>
      <c r="B65" s="27" t="inlineStr">
        <is>
          <t>大宗商品与能源/地缘风险</t>
        </is>
      </c>
      <c r="C65" s="39" t="n">
        <v>5</v>
      </c>
      <c r="D65" s="39">
        <f>IF(SUMIFS($G$6:$G$50,$C$6:$C$50,$A65,$F$6:$F$50,"&lt;&gt;")=0,"",SUMIFS($H$6:$H$50,$C$6:$C$50,$A65)/SUMIFS($G$6:$G$50,$C$6:$C$50,$A65,$F$6:$F$50,"&lt;&gt;"))</f>
        <v/>
      </c>
      <c r="E65" s="39">
        <f>IF($D65="","",$D65*$C65/100)</f>
        <v/>
      </c>
      <c r="F65" s="31" t="n"/>
      <c r="G65" s="31" t="n"/>
      <c r="H65" s="31" t="n"/>
      <c r="I65" s="31" t="n"/>
    </row>
    <row r="66" ht="16.5" customHeight="1" s="62">
      <c r="A66" s="26" t="inlineStr">
        <is>
          <t>D12</t>
        </is>
      </c>
      <c r="B66" s="27" t="inlineStr">
        <is>
          <t>信心与不确定性</t>
        </is>
      </c>
      <c r="C66" s="39" t="n">
        <v>6</v>
      </c>
      <c r="D66" s="39">
        <f>IF(SUMIFS($G$6:$G$50,$C$6:$C$50,$A66,$F$6:$F$50,"&lt;&gt;")=0,"",SUMIFS($H$6:$H$50,$C$6:$C$50,$A66)/SUMIFS($G$6:$G$50,$C$6:$C$50,$A66,$F$6:$F$50,"&lt;&gt;"))</f>
        <v/>
      </c>
      <c r="E66" s="39">
        <f>IF($D66="","",$D66*$C66/100)</f>
        <v/>
      </c>
      <c r="F66" s="31" t="n"/>
      <c r="G66" s="31" t="n"/>
      <c r="H66" s="31" t="n"/>
      <c r="I66" s="31" t="n"/>
    </row>
    <row r="67" ht="16.5" customHeight="1" s="62">
      <c r="A67" s="26" t="inlineStr">
        <is>
          <t>D13</t>
        </is>
      </c>
      <c r="B67" s="26" t="inlineStr">
        <is>
          <t>AI资本开支周期（主题）</t>
        </is>
      </c>
      <c r="C67" s="39" t="n">
        <v>4</v>
      </c>
      <c r="D67" s="39">
        <f>IF(SUMIFS($G$6:$G$50,$C$6:$C$50,$A67,$F$6:$F$50,"&lt;&gt;")=0,"",SUMIFS($H$6:$H$50,$C$6:$C$50,$A67)/SUMIFS($G$6:$G$50,$C$6:$C$50,$A67,$F$6:$F$50,"&lt;&gt;"))</f>
        <v/>
      </c>
      <c r="E67" s="39">
        <f>IF($D67="","",$D67*$C67/100)</f>
        <v/>
      </c>
      <c r="F67" s="31" t="n"/>
      <c r="G67" s="31" t="n"/>
      <c r="H67" s="31" t="n"/>
      <c r="I67" s="31" t="n"/>
    </row>
    <row r="68" ht="32.25" customHeight="1" s="62">
      <c r="A68" s="26" t="inlineStr">
        <is>
          <t>D14</t>
        </is>
      </c>
      <c r="B68" s="27" t="inlineStr">
        <is>
          <t>加密与稳定币流动性（主题）</t>
        </is>
      </c>
      <c r="C68" s="39" t="n">
        <v>1</v>
      </c>
      <c r="D68" s="39">
        <f>IF(SUMIFS($G$6:$G$50,$C$6:$C$50,$A68,$F$6:$F$50,"&lt;&gt;")=0,"",SUMIFS($H$6:$H$50,$C$6:$C$50,$A68)/SUMIFS($G$6:$G$50,$C$6:$C$50,$A68,$F$6:$F$50,"&lt;&gt;"))</f>
        <v/>
      </c>
      <c r="E68" s="39">
        <f>IF($D68="","",$D68*$C68/100)</f>
        <v/>
      </c>
      <c r="F68" s="31" t="n"/>
      <c r="G68" s="31" t="n"/>
      <c r="H68" s="31" t="n"/>
      <c r="I68" s="31" t="n"/>
    </row>
    <row r="69" ht="15" customHeight="1" s="62">
      <c r="A69" s="31" t="n"/>
      <c r="B69" s="31" t="n"/>
      <c r="C69" s="31" t="n"/>
      <c r="D69" s="31">
        <f>SUM($E55:$E68)</f>
        <v/>
      </c>
      <c r="E69" s="31">
        <f>SUM($E55:$E68)</f>
        <v/>
      </c>
      <c r="F69" s="31" t="n"/>
      <c r="G69" s="31" t="n"/>
      <c r="H69" s="31" t="n"/>
      <c r="I69" s="31" t="n"/>
    </row>
    <row r="70" ht="16.5" customHeight="1" s="62">
      <c r="A70" s="40" t="inlineStr">
        <is>
          <t>TOTAL</t>
        </is>
      </c>
      <c r="B70" s="40" t="n"/>
      <c r="C70" s="40" t="n">
        <v>100</v>
      </c>
      <c r="D70" s="41">
        <f>SUM($E55:$E68)</f>
        <v/>
      </c>
      <c r="E70" s="40">
        <f>SUM($E55:$E68)</f>
        <v/>
      </c>
      <c r="F70" s="42">
        <f>IF($D70="","",IF($D70&gt;=75,"扩张偏热",IF($D70&gt;=60,"温和扩张",IF($D70&gt;=45,"中性脆弱",IF($D70&gt;=30,"防御区","衰退/危机")))))</f>
        <v/>
      </c>
      <c r="G70" s="31" t="n"/>
      <c r="H70" s="31" t="n"/>
      <c r="I70" s="31" t="n"/>
    </row>
  </sheetData>
  <mergeCells count="1">
    <mergeCell ref="A1:H1"/>
  </mergeCells>
  <conditionalFormatting sqref="F6:F50">
    <cfRule type="cellIs" priority="2" operator="lessThan" dxfId="2">
      <formula>30</formula>
    </cfRule>
    <cfRule type="cellIs" priority="3" operator="between" dxfId="1">
      <formula>30</formula>
      <formula>45</formula>
    </cfRule>
    <cfRule type="cellIs" priority="4" operator="greaterThanOrEqual" dxfId="0">
      <formula>60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E12"/>
  <sheetViews>
    <sheetView showGridLines="0" zoomScaleNormal="100" workbookViewId="0">
      <selection activeCell="A1" sqref="A1"/>
    </sheetView>
  </sheetViews>
  <sheetFormatPr baseColWidth="10" defaultColWidth="8.6640625" defaultRowHeight="15" customHeight="1"/>
  <cols>
    <col width="10" customWidth="1" style="62" min="1" max="2"/>
    <col width="28" customWidth="1" style="62" min="3" max="3"/>
    <col width="36" customWidth="1" style="62" min="4" max="4"/>
    <col width="12" customWidth="1" style="62" min="5" max="5"/>
  </cols>
  <sheetData>
    <row r="1" ht="21" customHeight="1" s="62">
      <c r="A1" s="79" t="inlineStr">
        <is>
          <t>Alerts（红黄灯触发）</t>
        </is>
      </c>
      <c r="B1" s="74" t="n"/>
      <c r="C1" s="74" t="n"/>
      <c r="D1" s="74" t="n"/>
      <c r="E1" s="74" t="n"/>
    </row>
    <row r="2" ht="15" customHeight="1" s="62">
      <c r="A2" s="31" t="n"/>
      <c r="B2" s="31" t="n"/>
      <c r="C2" s="31" t="n"/>
      <c r="D2" s="31" t="n"/>
      <c r="E2" s="31" t="n"/>
    </row>
    <row r="3" ht="95.25" customHeight="1" s="62">
      <c r="A3" s="75" t="inlineStr">
        <is>
          <t>建议：把此页当作风控信号，不纳入总分平滑。</t>
        </is>
      </c>
      <c r="B3" s="31" t="n"/>
      <c r="C3" s="31" t="n"/>
      <c r="D3" s="31" t="n"/>
      <c r="E3" s="31" t="n"/>
    </row>
    <row r="4" ht="15" customHeight="1" s="62">
      <c r="A4" s="31" t="n"/>
      <c r="B4" s="31" t="n"/>
      <c r="C4" s="31" t="n"/>
      <c r="D4" s="31" t="n"/>
      <c r="E4" s="31" t="n"/>
    </row>
    <row r="5" ht="16.5" customHeight="1" s="62">
      <c r="A5" s="28" t="inlineStr">
        <is>
          <t>AlertID</t>
        </is>
      </c>
      <c r="B5" s="28" t="inlineStr">
        <is>
          <t>Level</t>
        </is>
      </c>
      <c r="C5" s="28" t="inlineStr">
        <is>
          <t>Condition (简述)</t>
        </is>
      </c>
      <c r="D5" s="28" t="inlineStr">
        <is>
          <t>Formula (参考)</t>
        </is>
      </c>
      <c r="E5" s="28" t="inlineStr">
        <is>
          <t>Triggered?</t>
        </is>
      </c>
    </row>
    <row r="6" ht="15" customHeight="1" s="62">
      <c r="A6" s="43" t="inlineStr">
        <is>
          <t>A01</t>
        </is>
      </c>
      <c r="B6" s="44" t="inlineStr">
        <is>
          <t>RED</t>
        </is>
      </c>
      <c r="C6" s="43" t="inlineStr">
        <is>
          <t>VIX &gt; 30</t>
        </is>
      </c>
      <c r="D6" s="43">
        <f>IFERROR(INDEX(Scores!$D:$D, MATCH("VIX", Scores!$A:$A,0)),"")&gt;30</f>
        <v/>
      </c>
      <c r="E6" s="44">
        <f>IF(IFERROR(INDEX(Scores!$D:$D, MATCH("VIX", Scores!$A:$A,0)),"")&gt;30,"YES","NO")</f>
        <v/>
      </c>
    </row>
    <row r="7" ht="15" customHeight="1" s="62">
      <c r="A7" s="43" t="inlineStr">
        <is>
          <t>A02</t>
        </is>
      </c>
      <c r="B7" s="44" t="inlineStr">
        <is>
          <t>RED</t>
        </is>
      </c>
      <c r="C7" s="43" t="inlineStr">
        <is>
          <t>MOVE &gt; 140</t>
        </is>
      </c>
      <c r="D7" s="43">
        <f>IFERROR(INDEX(Scores!$D:$D, MATCH("MOVE", Scores!$A:$A,0)),"")&gt;140</f>
        <v/>
      </c>
      <c r="E7" s="44">
        <f>IF(IFERROR(INDEX(Scores!$D:$D, MATCH("MOVE", Scores!$A:$A,0)),"")&gt;140,"YES","NO")</f>
        <v/>
      </c>
    </row>
    <row r="8" ht="15" customHeight="1" s="62">
      <c r="A8" s="43" t="inlineStr">
        <is>
          <t>A03</t>
        </is>
      </c>
      <c r="B8" s="45" t="inlineStr">
        <is>
          <t>YELLOW</t>
        </is>
      </c>
      <c r="C8" s="43" t="inlineStr">
        <is>
          <t>HY OAS &gt; 600bps</t>
        </is>
      </c>
      <c r="D8" s="43">
        <f>IFERROR(INDEX(Scores!$D:$D, MATCH("HY_OAS", Scores!$A:$A,0)),"")&gt;600</f>
        <v/>
      </c>
      <c r="E8" s="45">
        <f>IF(IFERROR(INDEX(Scores!$D:$D, MATCH("HY_OAS", Scores!$A:$A,0)),"")&gt;600,"YES","NO")</f>
        <v/>
      </c>
    </row>
    <row r="9" ht="15" customHeight="1" s="62">
      <c r="A9" s="43" t="inlineStr">
        <is>
          <t>A04</t>
        </is>
      </c>
      <c r="B9" s="45" t="inlineStr">
        <is>
          <t>YELLOW</t>
        </is>
      </c>
      <c r="C9" s="43" t="inlineStr">
        <is>
          <t>10Y-3M &lt; -50bps</t>
        </is>
      </c>
      <c r="D9" s="43">
        <f>IFERROR(INDEX(Scores!$D:$D, MATCH("YC_10Y3M", Scores!$A:$A,0)),"")&lt;-50</f>
        <v/>
      </c>
      <c r="E9" s="45">
        <f>IF(IFERROR(INDEX(Scores!$D:$D, MATCH("YC_10Y3M", Scores!$A:$A,0)),"")&lt;-50,"YES","NO")</f>
        <v/>
      </c>
    </row>
    <row r="10" ht="16.5" customHeight="1" s="62">
      <c r="A10" s="43" t="inlineStr">
        <is>
          <t>A05</t>
        </is>
      </c>
      <c r="B10" s="44" t="inlineStr">
        <is>
          <t>RED</t>
        </is>
      </c>
      <c r="C10" s="46" t="inlineStr">
        <is>
          <t>失业率 &gt; 6%</t>
        </is>
      </c>
      <c r="D10" s="43">
        <f>IFERROR(INDEX(Scores!$D:$D, MATCH("UNRATE", Scores!$A:$A,0)),"")&gt;6</f>
        <v/>
      </c>
      <c r="E10" s="44">
        <f>IF(IFERROR(INDEX(Scores!$D:$D, MATCH("UNRATE", Scores!$A:$A,0)),"")&gt;6,"YES","NO")</f>
        <v/>
      </c>
    </row>
    <row r="11" ht="16.5" customHeight="1" s="62">
      <c r="A11" s="43" t="inlineStr">
        <is>
          <t>A06</t>
        </is>
      </c>
      <c r="B11" s="45" t="inlineStr">
        <is>
          <t>YELLOW</t>
        </is>
      </c>
      <c r="C11" s="46" t="inlineStr">
        <is>
          <t>核心PCE &gt; 3.5%</t>
        </is>
      </c>
      <c r="D11" s="43">
        <f>IFERROR(INDEX(Scores!$D:$D, MATCH("CORE_PCE_YOY", Scores!$A:$A,0)),"")&gt;3.5</f>
        <v/>
      </c>
      <c r="E11" s="45">
        <f>IF(IFERROR(INDEX(Scores!$D:$D, MATCH("CORE_PCE_YOY", Scores!$A:$A,0)),"")&gt;3.5,"YES","NO")</f>
        <v/>
      </c>
    </row>
    <row r="12" ht="15" customHeight="1" s="62">
      <c r="A12" s="43" t="inlineStr">
        <is>
          <t>A07</t>
        </is>
      </c>
      <c r="B12" s="45" t="inlineStr">
        <is>
          <t>YELLOW</t>
        </is>
      </c>
      <c r="C12" s="43" t="inlineStr">
        <is>
          <t>WTI &gt; $100</t>
        </is>
      </c>
      <c r="D12" s="43">
        <f>IFERROR(INDEX(Scores!$D:$D, MATCH("WTI", Scores!$A:$A,0)),"")&gt;100</f>
        <v/>
      </c>
      <c r="E12" s="45">
        <f>IF(IFERROR(INDEX(Scores!$D:$D, MATCH("WTI", Scores!$A:$A,0)),"")&gt;100,"YES","NO")</f>
        <v/>
      </c>
    </row>
  </sheetData>
  <mergeCells count="1">
    <mergeCell ref="A1:E1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14维机构级宏观监控模型 - 董事会汇报版 Dashboard</dc:title>
  <dc:language>en-US</dc:language>
  <dcterms:created xsi:type="dcterms:W3CDTF">2026-03-04T07:45:25Z</dcterms:created>
  <dcterms:modified xsi:type="dcterms:W3CDTF">2026-10-22T05:58:49Z</dcterms:modified>
  <cp:lastModifiedBy>Yiping Xia</cp:lastModifiedBy>
  <cp:revision>0</cp:revision>
</cp:coreProperties>
</file>